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EO总览" sheetId="1" state="visible" r:id="rId1"/>
    <sheet xmlns:r="http://schemas.openxmlformats.org/officeDocument/2006/relationships" name="🔑 关键词排名" sheetId="2" state="visible" r:id="rId2"/>
    <sheet xmlns:r="http://schemas.openxmlformats.org/officeDocument/2006/relationships" name="📝 内容产出" sheetId="3" state="visible" r:id="rId3"/>
    <sheet xmlns:r="http://schemas.openxmlformats.org/officeDocument/2006/relationships" name="🔗 外链建设" sheetId="4" state="visible" r:id="rId4"/>
    <sheet xmlns:r="http://schemas.openxmlformats.org/officeDocument/2006/relationships" name="⚙️ 技术SEO" sheetId="5" state="visible" r:id="rId5"/>
    <sheet xmlns:r="http://schemas.openxmlformats.org/officeDocument/2006/relationships" name="📖 配置指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E3A8A"/>
      <sz val="16"/>
    </font>
    <font>
      <b val="1"/>
      <color rgb="001E3A8A"/>
      <sz val="12"/>
    </font>
    <font>
      <b val="1"/>
      <color rgb="00FFFFFF"/>
      <sz val="11"/>
    </font>
    <font>
      <b val="1"/>
      <color rgb="001E40AF"/>
      <sz val="10"/>
    </font>
    <font>
      <b val="1"/>
      <color rgb="001E40AF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25" customWidth="1" min="7" max="7"/>
  </cols>
  <sheetData>
    <row r="1" ht="40" customHeight="1">
      <c r="A1" s="1" t="inlineStr">
        <is>
          <t>众力聚鑫咨询 - SEO数据监控总览</t>
        </is>
      </c>
    </row>
    <row r="3">
      <c r="A3" s="2" t="inlineStr">
        <is>
          <t>核心指标</t>
        </is>
      </c>
    </row>
    <row r="4">
      <c r="A4" s="3" t="inlineStr">
        <is>
          <t>指标</t>
        </is>
      </c>
      <c r="B4" s="3" t="inlineStr">
        <is>
          <t>当前值</t>
        </is>
      </c>
      <c r="C4" s="3" t="inlineStr">
        <is>
          <t>目标值</t>
        </is>
      </c>
      <c r="D4" s="3" t="inlineStr">
        <is>
          <t>完成率</t>
        </is>
      </c>
      <c r="E4" s="3" t="inlineStr">
        <is>
          <t>上月</t>
        </is>
      </c>
      <c r="F4" s="3" t="inlineStr">
        <is>
          <t>环比</t>
        </is>
      </c>
      <c r="G4" s="3" t="inlineStr">
        <is>
          <t>状态</t>
        </is>
      </c>
    </row>
    <row r="5">
      <c r="A5" s="4" t="inlineStr">
        <is>
          <t>网站总流量（UV）</t>
        </is>
      </c>
      <c r="B5" s="4" t="inlineStr">
        <is>
          <t>待填写</t>
        </is>
      </c>
      <c r="C5" s="4" t="inlineStr">
        <is>
          <t>5000</t>
        </is>
      </c>
      <c r="D5" s="5">
        <f>B5/C5</f>
        <v/>
      </c>
      <c r="E5" s="4" t="inlineStr">
        <is>
          <t>待填写</t>
        </is>
      </c>
      <c r="F5" s="5">
        <f>B5/E5-1</f>
        <v/>
      </c>
      <c r="G5" s="4">
        <f>IF(F5&gt;=0,"↑ 上升","↓ 下降")</f>
        <v/>
      </c>
    </row>
    <row r="6">
      <c r="A6" s="6" t="inlineStr">
        <is>
          <t>百度收录量</t>
        </is>
      </c>
      <c r="B6" s="6" t="inlineStr">
        <is>
          <t>待填写</t>
        </is>
      </c>
      <c r="C6" s="6" t="inlineStr">
        <is>
          <t>1000</t>
        </is>
      </c>
      <c r="D6" s="7">
        <f>B6/C6</f>
        <v/>
      </c>
      <c r="E6" s="6" t="inlineStr">
        <is>
          <t>待填写</t>
        </is>
      </c>
      <c r="F6" s="7">
        <f>B6/E6-1</f>
        <v/>
      </c>
      <c r="G6" s="6">
        <f>IF(F6&gt;=0,"↑ 上升","↓ 下降")</f>
        <v/>
      </c>
    </row>
    <row r="7">
      <c r="A7" s="4" t="inlineStr">
        <is>
          <t>关键词排名（前50）</t>
        </is>
      </c>
      <c r="B7" s="4" t="inlineStr">
        <is>
          <t>待填写</t>
        </is>
      </c>
      <c r="C7" s="4" t="inlineStr">
        <is>
          <t>50</t>
        </is>
      </c>
      <c r="D7" s="5">
        <f>B7/C7</f>
        <v/>
      </c>
      <c r="E7" s="4" t="inlineStr">
        <is>
          <t>待填写</t>
        </is>
      </c>
      <c r="F7" s="5">
        <f>B7/E7-1</f>
        <v/>
      </c>
      <c r="G7" s="4">
        <f>IF(F7&gt;=0,"↑ 上升","↓ 下降")</f>
        <v/>
      </c>
    </row>
    <row r="8">
      <c r="A8" s="6" t="inlineStr">
        <is>
          <t>首页关键词（前10）</t>
        </is>
      </c>
      <c r="B8" s="6" t="inlineStr">
        <is>
          <t>待填写</t>
        </is>
      </c>
      <c r="C8" s="6" t="inlineStr">
        <is>
          <t>10</t>
        </is>
      </c>
      <c r="D8" s="7">
        <f>B8/C8</f>
        <v/>
      </c>
      <c r="E8" s="6" t="inlineStr">
        <is>
          <t>待填写</t>
        </is>
      </c>
      <c r="F8" s="7">
        <f>B8/E8-1</f>
        <v/>
      </c>
      <c r="G8" s="6">
        <f>IF(F8&gt;=0,"↑ 上升","↓ 下降")</f>
        <v/>
      </c>
    </row>
    <row r="9">
      <c r="A9" s="4" t="inlineStr">
        <is>
          <t>咨询转化量</t>
        </is>
      </c>
      <c r="B9" s="4" t="inlineStr">
        <is>
          <t>待填写</t>
        </is>
      </c>
      <c r="C9" s="4" t="inlineStr">
        <is>
          <t>50</t>
        </is>
      </c>
      <c r="D9" s="5">
        <f>B9/C9</f>
        <v/>
      </c>
      <c r="E9" s="4" t="inlineStr">
        <is>
          <t>待填写</t>
        </is>
      </c>
      <c r="F9" s="5">
        <f>B9/E9-1</f>
        <v/>
      </c>
      <c r="G9" s="4">
        <f>IF(F9&gt;=0,"↑ 上升","↓ 下降")</f>
        <v/>
      </c>
    </row>
    <row r="10">
      <c r="A10" s="6" t="inlineStr">
        <is>
          <t>平均停留时间</t>
        </is>
      </c>
      <c r="B10" s="6" t="inlineStr">
        <is>
          <t>待填写</t>
        </is>
      </c>
      <c r="C10" s="6" t="inlineStr">
        <is>
          <t>180秒</t>
        </is>
      </c>
      <c r="D10" s="7" t="inlineStr">
        <is>
          <t>—</t>
        </is>
      </c>
      <c r="E10" s="6" t="inlineStr">
        <is>
          <t>待填写</t>
        </is>
      </c>
      <c r="F10" s="7" t="inlineStr">
        <is>
          <t>—</t>
        </is>
      </c>
      <c r="G10" s="6" t="inlineStr">
        <is>
          <t>—</t>
        </is>
      </c>
    </row>
    <row r="11">
      <c r="A11" s="4" t="inlineStr">
        <is>
          <t>跳出率</t>
        </is>
      </c>
      <c r="B11" s="4" t="inlineStr">
        <is>
          <t>待填写</t>
        </is>
      </c>
      <c r="C11" s="4" t="inlineStr">
        <is>
          <t>&lt;60%</t>
        </is>
      </c>
      <c r="D11" s="5" t="inlineStr">
        <is>
          <t>—</t>
        </is>
      </c>
      <c r="E11" s="4" t="inlineStr">
        <is>
          <t>待填写</t>
        </is>
      </c>
      <c r="F11" s="5" t="inlineStr">
        <is>
          <t>—</t>
        </is>
      </c>
      <c r="G11" s="4" t="inlineStr">
        <is>
          <t>—</t>
        </is>
      </c>
    </row>
    <row r="14">
      <c r="A14" s="2" t="inlineStr">
        <is>
          <t>月度趋势跟踪</t>
        </is>
      </c>
    </row>
    <row r="15">
      <c r="A15" s="3" t="inlineStr">
        <is>
          <t>月份</t>
        </is>
      </c>
      <c r="B15" s="3" t="inlineStr">
        <is>
          <t>总UV</t>
        </is>
      </c>
      <c r="C15" s="3" t="inlineStr">
        <is>
          <t>百度收录</t>
        </is>
      </c>
      <c r="D15" s="3" t="inlineStr">
        <is>
          <t>前50关键词</t>
        </is>
      </c>
      <c r="E15" s="3" t="inlineStr">
        <is>
          <t>咨询量</t>
        </is>
      </c>
      <c r="F15" s="3" t="inlineStr">
        <is>
          <t>转化数</t>
        </is>
      </c>
      <c r="G15" s="3" t="inlineStr">
        <is>
          <t>备注</t>
        </is>
      </c>
    </row>
    <row r="16">
      <c r="A16" s="4" t="inlineStr">
        <is>
          <t>2026-07</t>
        </is>
      </c>
      <c r="B16" s="4" t="inlineStr">
        <is>
          <t>待填写</t>
        </is>
      </c>
      <c r="C16" s="4" t="inlineStr">
        <is>
          <t>待填写</t>
        </is>
      </c>
      <c r="D16" s="4" t="inlineStr">
        <is>
          <t>待填写</t>
        </is>
      </c>
      <c r="E16" s="4" t="inlineStr">
        <is>
          <t>待填写</t>
        </is>
      </c>
      <c r="F16" s="4" t="inlineStr">
        <is>
          <t>待填写</t>
        </is>
      </c>
      <c r="G16" s="4" t="inlineStr">
        <is>
          <t>SEO优化启动月</t>
        </is>
      </c>
    </row>
    <row r="17">
      <c r="A17" s="6" t="inlineStr">
        <is>
          <t>2026-08</t>
        </is>
      </c>
      <c r="B17" s="6" t="inlineStr">
        <is>
          <t>待填写</t>
        </is>
      </c>
      <c r="C17" s="6" t="inlineStr">
        <is>
          <t>待填写</t>
        </is>
      </c>
      <c r="D17" s="6" t="inlineStr">
        <is>
          <t>待填写</t>
        </is>
      </c>
      <c r="E17" s="6" t="inlineStr">
        <is>
          <t>待填写</t>
        </is>
      </c>
      <c r="F17" s="6" t="inlineStr">
        <is>
          <t>待填写</t>
        </is>
      </c>
      <c r="G17" s="6" t="inlineStr"/>
    </row>
    <row r="18">
      <c r="A18" s="4" t="inlineStr">
        <is>
          <t>2026-09</t>
        </is>
      </c>
      <c r="B18" s="4" t="inlineStr">
        <is>
          <t>待填写</t>
        </is>
      </c>
      <c r="C18" s="4" t="inlineStr">
        <is>
          <t>待填写</t>
        </is>
      </c>
      <c r="D18" s="4" t="inlineStr">
        <is>
          <t>待填写</t>
        </is>
      </c>
      <c r="E18" s="4" t="inlineStr">
        <is>
          <t>待填写</t>
        </is>
      </c>
      <c r="F18" s="4" t="inlineStr">
        <is>
          <t>待填写</t>
        </is>
      </c>
      <c r="G18" s="4" t="inlineStr"/>
    </row>
    <row r="19">
      <c r="A19" s="6" t="inlineStr">
        <is>
          <t>2026-10</t>
        </is>
      </c>
      <c r="B19" s="6" t="inlineStr">
        <is>
          <t>待填写</t>
        </is>
      </c>
      <c r="C19" s="6" t="inlineStr">
        <is>
          <t>待填写</t>
        </is>
      </c>
      <c r="D19" s="6" t="inlineStr">
        <is>
          <t>待填写</t>
        </is>
      </c>
      <c r="E19" s="6" t="inlineStr">
        <is>
          <t>待填写</t>
        </is>
      </c>
      <c r="F19" s="6" t="inlineStr">
        <is>
          <t>待填写</t>
        </is>
      </c>
      <c r="G19" s="6" t="inlineStr"/>
    </row>
    <row r="20">
      <c r="A20" s="4" t="inlineStr">
        <is>
          <t>2026-11</t>
        </is>
      </c>
      <c r="B20" s="4" t="inlineStr">
        <is>
          <t>待填写</t>
        </is>
      </c>
      <c r="C20" s="4" t="inlineStr">
        <is>
          <t>待填写</t>
        </is>
      </c>
      <c r="D20" s="4" t="inlineStr">
        <is>
          <t>待填写</t>
        </is>
      </c>
      <c r="E20" s="4" t="inlineStr">
        <is>
          <t>待填写</t>
        </is>
      </c>
      <c r="F20" s="4" t="inlineStr">
        <is>
          <t>待填写</t>
        </is>
      </c>
      <c r="G20" s="4" t="inlineStr"/>
    </row>
    <row r="21">
      <c r="A21" s="6" t="inlineStr">
        <is>
          <t>2026-12</t>
        </is>
      </c>
      <c r="B21" s="6" t="inlineStr">
        <is>
          <t>待填写</t>
        </is>
      </c>
      <c r="C21" s="6" t="inlineStr">
        <is>
          <t>待填写</t>
        </is>
      </c>
      <c r="D21" s="6" t="inlineStr">
        <is>
          <t>待填写</t>
        </is>
      </c>
      <c r="E21" s="6" t="inlineStr">
        <is>
          <t>待填写</t>
        </is>
      </c>
      <c r="F21" s="6" t="inlineStr">
        <is>
          <t>待填写</t>
        </is>
      </c>
      <c r="G21" s="6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8" customWidth="1" min="4" max="4"/>
    <col width="12" customWidth="1" min="5" max="5"/>
    <col width="14" customWidth="1" min="6" max="6"/>
    <col width="10" customWidth="1" min="7" max="7"/>
    <col width="28" customWidth="1" min="8" max="8"/>
    <col width="15" customWidth="1" min="9" max="9"/>
    <col width="3" customWidth="1" min="10" max="10"/>
    <col width="12" customWidth="1" min="11" max="11"/>
    <col width="12" customWidth="1" min="12" max="12"/>
  </cols>
  <sheetData>
    <row r="1" ht="40" customHeight="1">
      <c r="A1" s="1" t="inlineStr">
        <is>
          <t>核心关键词排名监控表</t>
        </is>
      </c>
    </row>
    <row r="3">
      <c r="A3" s="3" t="inlineStr">
        <is>
          <t>关键词</t>
        </is>
      </c>
      <c r="B3" s="3" t="inlineStr">
        <is>
          <t>分类</t>
        </is>
      </c>
      <c r="C3" s="3" t="inlineStr">
        <is>
          <t>搜索量（预估）</t>
        </is>
      </c>
      <c r="D3" s="3" t="inlineStr">
        <is>
          <t>难度</t>
        </is>
      </c>
      <c r="E3" s="3" t="inlineStr">
        <is>
          <t>百度排名</t>
        </is>
      </c>
      <c r="F3" s="3" t="inlineStr">
        <is>
          <t>百度移动排名</t>
        </is>
      </c>
      <c r="G3" s="3" t="inlineStr">
        <is>
          <t>360排名</t>
        </is>
      </c>
      <c r="H3" s="3" t="inlineStr">
        <is>
          <t>首页URL</t>
        </is>
      </c>
      <c r="I3" s="3" t="inlineStr">
        <is>
          <t>备注</t>
        </is>
      </c>
      <c r="K3" s="2" t="inlineStr">
        <is>
          <t>分类统计</t>
        </is>
      </c>
    </row>
    <row r="4">
      <c r="A4" s="8" t="inlineStr">
        <is>
          <t>企业管理咨询</t>
        </is>
      </c>
      <c r="B4" s="8" t="inlineStr">
        <is>
          <t>核心词</t>
        </is>
      </c>
      <c r="C4" s="8" t="inlineStr">
        <is>
          <t>高</t>
        </is>
      </c>
      <c r="D4" s="8" t="inlineStr">
        <is>
          <t>高</t>
        </is>
      </c>
      <c r="E4" s="8" t="inlineStr">
        <is>
          <t>待填写</t>
        </is>
      </c>
      <c r="F4" s="8" t="inlineStr">
        <is>
          <t>待填写</t>
        </is>
      </c>
      <c r="G4" s="8" t="inlineStr">
        <is>
          <t>待填写</t>
        </is>
      </c>
      <c r="H4" s="8" t="inlineStr">
        <is>
          <t>index.html</t>
        </is>
      </c>
      <c r="I4" s="8" t="inlineStr"/>
      <c r="J4" s="8" t="n"/>
      <c r="K4" s="8" t="inlineStr">
        <is>
          <t>分类</t>
        </is>
      </c>
      <c r="L4" s="8" t="inlineStr">
        <is>
          <t>关键词数量</t>
        </is>
      </c>
    </row>
    <row r="5">
      <c r="A5" s="6" t="inlineStr">
        <is>
          <t>战略咨询</t>
        </is>
      </c>
      <c r="B5" s="6" t="inlineStr">
        <is>
          <t>核心词</t>
        </is>
      </c>
      <c r="C5" s="6" t="inlineStr">
        <is>
          <t>中高</t>
        </is>
      </c>
      <c r="D5" s="6" t="inlineStr">
        <is>
          <t>高</t>
        </is>
      </c>
      <c r="E5" s="6" t="inlineStr">
        <is>
          <t>待填写</t>
        </is>
      </c>
      <c r="F5" s="6" t="inlineStr">
        <is>
          <t>待填写</t>
        </is>
      </c>
      <c r="G5" s="6" t="inlineStr">
        <is>
          <t>待填写</t>
        </is>
      </c>
      <c r="H5" s="6" t="inlineStr">
        <is>
          <t>services.html</t>
        </is>
      </c>
      <c r="I5" s="6" t="inlineStr"/>
      <c r="K5" t="inlineStr">
        <is>
          <t>核心词</t>
        </is>
      </c>
      <c r="L5">
        <f>COUNTIF(B:B,"核心词")</f>
        <v/>
      </c>
    </row>
    <row r="6">
      <c r="A6" s="4" t="inlineStr">
        <is>
          <t>管理咨询公司</t>
        </is>
      </c>
      <c r="B6" s="4" t="inlineStr">
        <is>
          <t>核心词</t>
        </is>
      </c>
      <c r="C6" s="4" t="inlineStr">
        <is>
          <t>高</t>
        </is>
      </c>
      <c r="D6" s="4" t="inlineStr">
        <is>
          <t>中高</t>
        </is>
      </c>
      <c r="E6" s="4" t="inlineStr">
        <is>
          <t>待填写</t>
        </is>
      </c>
      <c r="F6" s="4" t="inlineStr">
        <is>
          <t>待填写</t>
        </is>
      </c>
      <c r="G6" s="4" t="inlineStr">
        <is>
          <t>待填写</t>
        </is>
      </c>
      <c r="H6" s="4" t="inlineStr">
        <is>
          <t>index.html</t>
        </is>
      </c>
      <c r="I6" s="4" t="inlineStr"/>
      <c r="K6" t="inlineStr">
        <is>
          <t>本地词</t>
        </is>
      </c>
      <c r="L6">
        <f>COUNTIF(B:B,"本地词")</f>
        <v/>
      </c>
    </row>
    <row r="7">
      <c r="A7" s="6" t="inlineStr">
        <is>
          <t>深圳企业管理咨询</t>
        </is>
      </c>
      <c r="B7" s="6" t="inlineStr">
        <is>
          <t>本地词</t>
        </is>
      </c>
      <c r="C7" s="6" t="inlineStr">
        <is>
          <t>中</t>
        </is>
      </c>
      <c r="D7" s="6" t="inlineStr">
        <is>
          <t>中</t>
        </is>
      </c>
      <c r="E7" s="6" t="inlineStr">
        <is>
          <t>待填写</t>
        </is>
      </c>
      <c r="F7" s="6" t="inlineStr">
        <is>
          <t>待填写</t>
        </is>
      </c>
      <c r="G7" s="6" t="inlineStr">
        <is>
          <t>待填写</t>
        </is>
      </c>
      <c r="H7" s="6" t="inlineStr">
        <is>
          <t>article-shenzhen-consulting.html</t>
        </is>
      </c>
      <c r="I7" s="6" t="inlineStr"/>
      <c r="K7" t="inlineStr">
        <is>
          <t>服务词</t>
        </is>
      </c>
      <c r="L7">
        <f>COUNTIF(B:B,"服务词")</f>
        <v/>
      </c>
    </row>
    <row r="8">
      <c r="A8" s="4" t="inlineStr">
        <is>
          <t>深圳咨询公司</t>
        </is>
      </c>
      <c r="B8" s="4" t="inlineStr">
        <is>
          <t>本地词</t>
        </is>
      </c>
      <c r="C8" s="4" t="inlineStr">
        <is>
          <t>中</t>
        </is>
      </c>
      <c r="D8" s="4" t="inlineStr">
        <is>
          <t>中</t>
        </is>
      </c>
      <c r="E8" s="4" t="inlineStr">
        <is>
          <t>待填写</t>
        </is>
      </c>
      <c r="F8" s="4" t="inlineStr">
        <is>
          <t>待填写</t>
        </is>
      </c>
      <c r="G8" s="4" t="inlineStr">
        <is>
          <t>待填写</t>
        </is>
      </c>
      <c r="H8" s="4" t="inlineStr">
        <is>
          <t>article-shenzhen-consulting.html</t>
        </is>
      </c>
      <c r="I8" s="4" t="inlineStr"/>
      <c r="K8" t="inlineStr">
        <is>
          <t>长尾词</t>
        </is>
      </c>
      <c r="L8">
        <f>COUNTIF(B:B,"长尾词")</f>
        <v/>
      </c>
    </row>
    <row r="9">
      <c r="A9" s="6" t="inlineStr">
        <is>
          <t>组织变革</t>
        </is>
      </c>
      <c r="B9" s="6" t="inlineStr">
        <is>
          <t>服务词</t>
        </is>
      </c>
      <c r="C9" s="6" t="inlineStr">
        <is>
          <t>中</t>
        </is>
      </c>
      <c r="D9" s="6" t="inlineStr">
        <is>
          <t>中高</t>
        </is>
      </c>
      <c r="E9" s="6" t="inlineStr">
        <is>
          <t>待填写</t>
        </is>
      </c>
      <c r="F9" s="6" t="inlineStr">
        <is>
          <t>待填写</t>
        </is>
      </c>
      <c r="G9" s="6" t="inlineStr">
        <is>
          <t>待填写</t>
        </is>
      </c>
      <c r="H9" s="6" t="inlineStr">
        <is>
          <t>services.html</t>
        </is>
      </c>
      <c r="I9" s="6" t="inlineStr"/>
      <c r="K9" t="inlineStr">
        <is>
          <t>总计</t>
        </is>
      </c>
      <c r="L9">
        <f>SUM(K5:K8)</f>
        <v/>
      </c>
    </row>
    <row r="10">
      <c r="A10" s="4" t="inlineStr">
        <is>
          <t>数字化转型</t>
        </is>
      </c>
      <c r="B10" s="4" t="inlineStr">
        <is>
          <t>服务词</t>
        </is>
      </c>
      <c r="C10" s="4" t="inlineStr">
        <is>
          <t>高</t>
        </is>
      </c>
      <c r="D10" s="4" t="inlineStr">
        <is>
          <t>高</t>
        </is>
      </c>
      <c r="E10" s="4" t="inlineStr">
        <is>
          <t>待填写</t>
        </is>
      </c>
      <c r="F10" s="4" t="inlineStr">
        <is>
          <t>待填写</t>
        </is>
      </c>
      <c r="G10" s="4" t="inlineStr">
        <is>
          <t>待填写</t>
        </is>
      </c>
      <c r="H10" s="4" t="inlineStr">
        <is>
          <t>services.html</t>
        </is>
      </c>
      <c r="I10" s="4" t="inlineStr"/>
    </row>
    <row r="11">
      <c r="A11" s="6" t="inlineStr">
        <is>
          <t>项目孵化</t>
        </is>
      </c>
      <c r="B11" s="6" t="inlineStr">
        <is>
          <t>服务词</t>
        </is>
      </c>
      <c r="C11" s="6" t="inlineStr">
        <is>
          <t>中</t>
        </is>
      </c>
      <c r="D11" s="6" t="inlineStr">
        <is>
          <t>中</t>
        </is>
      </c>
      <c r="E11" s="6" t="inlineStr">
        <is>
          <t>待填写</t>
        </is>
      </c>
      <c r="F11" s="6" t="inlineStr">
        <is>
          <t>待填写</t>
        </is>
      </c>
      <c r="G11" s="6" t="inlineStr">
        <is>
          <t>待填写</t>
        </is>
      </c>
      <c r="H11" s="6" t="inlineStr">
        <is>
          <t>services.html</t>
        </is>
      </c>
      <c r="I11" s="6" t="inlineStr"/>
    </row>
    <row r="12">
      <c r="A12" s="4" t="inlineStr">
        <is>
          <t>企业咨询费用</t>
        </is>
      </c>
      <c r="B12" s="4" t="inlineStr">
        <is>
          <t>长尾词</t>
        </is>
      </c>
      <c r="C12" s="4" t="inlineStr">
        <is>
          <t>中</t>
        </is>
      </c>
      <c r="D12" s="4" t="inlineStr">
        <is>
          <t>低</t>
        </is>
      </c>
      <c r="E12" s="4" t="inlineStr">
        <is>
          <t>待填写</t>
        </is>
      </c>
      <c r="F12" s="4" t="inlineStr">
        <is>
          <t>待填写</t>
        </is>
      </c>
      <c r="G12" s="4" t="inlineStr">
        <is>
          <t>待填写</t>
        </is>
      </c>
      <c r="H12" s="4" t="inlineStr">
        <is>
          <t>article-consulting-fee.html</t>
        </is>
      </c>
      <c r="I12" s="4" t="inlineStr"/>
    </row>
    <row r="13">
      <c r="A13" s="6" t="inlineStr">
        <is>
          <t>管理咨询收费标准</t>
        </is>
      </c>
      <c r="B13" s="6" t="inlineStr">
        <is>
          <t>长尾词</t>
        </is>
      </c>
      <c r="C13" s="6" t="inlineStr">
        <is>
          <t>中</t>
        </is>
      </c>
      <c r="D13" s="6" t="inlineStr">
        <is>
          <t>低</t>
        </is>
      </c>
      <c r="E13" s="6" t="inlineStr">
        <is>
          <t>待填写</t>
        </is>
      </c>
      <c r="F13" s="6" t="inlineStr">
        <is>
          <t>待填写</t>
        </is>
      </c>
      <c r="G13" s="6" t="inlineStr">
        <is>
          <t>待填写</t>
        </is>
      </c>
      <c r="H13" s="6" t="inlineStr">
        <is>
          <t>article-consulting-fee.html</t>
        </is>
      </c>
      <c r="I13" s="6" t="inlineStr"/>
    </row>
    <row r="14">
      <c r="A14" s="4" t="inlineStr">
        <is>
          <t>企业增长瓶颈</t>
        </is>
      </c>
      <c r="B14" s="4" t="inlineStr">
        <is>
          <t>长尾词</t>
        </is>
      </c>
      <c r="C14" s="4" t="inlineStr">
        <is>
          <t>中</t>
        </is>
      </c>
      <c r="D14" s="4" t="inlineStr">
        <is>
          <t>低</t>
        </is>
      </c>
      <c r="E14" s="4" t="inlineStr">
        <is>
          <t>待填写</t>
        </is>
      </c>
      <c r="F14" s="4" t="inlineStr">
        <is>
          <t>待填写</t>
        </is>
      </c>
      <c r="G14" s="4" t="inlineStr">
        <is>
          <t>待填写</t>
        </is>
      </c>
      <c r="H14" s="4" t="inlineStr">
        <is>
          <t>article-growth-bottleneck.html</t>
        </is>
      </c>
      <c r="I14" s="4" t="inlineStr"/>
    </row>
    <row r="15">
      <c r="A15" s="6" t="inlineStr">
        <is>
          <t>降本增效方案</t>
        </is>
      </c>
      <c r="B15" s="6" t="inlineStr">
        <is>
          <t>长尾词</t>
        </is>
      </c>
      <c r="C15" s="6" t="inlineStr">
        <is>
          <t>中</t>
        </is>
      </c>
      <c r="D15" s="6" t="inlineStr">
        <is>
          <t>中</t>
        </is>
      </c>
      <c r="E15" s="6" t="inlineStr">
        <is>
          <t>待填写</t>
        </is>
      </c>
      <c r="F15" s="6" t="inlineStr">
        <is>
          <t>待填写</t>
        </is>
      </c>
      <c r="G15" s="6" t="inlineStr">
        <is>
          <t>待填写</t>
        </is>
      </c>
      <c r="H15" s="6" t="inlineStr">
        <is>
          <t>article-cost-reduction.html</t>
        </is>
      </c>
      <c r="I15" s="6" t="inlineStr"/>
    </row>
    <row r="16">
      <c r="A16" s="4" t="inlineStr">
        <is>
          <t>团队建设方法</t>
        </is>
      </c>
      <c r="B16" s="4" t="inlineStr">
        <is>
          <t>长尾词</t>
        </is>
      </c>
      <c r="C16" s="4" t="inlineStr">
        <is>
          <t>中</t>
        </is>
      </c>
      <c r="D16" s="4" t="inlineStr">
        <is>
          <t>低</t>
        </is>
      </c>
      <c r="E16" s="4" t="inlineStr">
        <is>
          <t>待填写</t>
        </is>
      </c>
      <c r="F16" s="4" t="inlineStr">
        <is>
          <t>待填写</t>
        </is>
      </c>
      <c r="G16" s="4" t="inlineStr">
        <is>
          <t>待填写</t>
        </is>
      </c>
      <c r="H16" s="4" t="inlineStr">
        <is>
          <t>article-team-building.html</t>
        </is>
      </c>
      <c r="I16" s="4" t="inlineStr"/>
    </row>
    <row r="17">
      <c r="A17" s="6" t="inlineStr">
        <is>
          <t>品牌建设方案</t>
        </is>
      </c>
      <c r="B17" s="6" t="inlineStr">
        <is>
          <t>长尾词</t>
        </is>
      </c>
      <c r="C17" s="6" t="inlineStr">
        <is>
          <t>中</t>
        </is>
      </c>
      <c r="D17" s="6" t="inlineStr">
        <is>
          <t>中</t>
        </is>
      </c>
      <c r="E17" s="6" t="inlineStr">
        <is>
          <t>待填写</t>
        </is>
      </c>
      <c r="F17" s="6" t="inlineStr">
        <is>
          <t>待填写</t>
        </is>
      </c>
      <c r="G17" s="6" t="inlineStr">
        <is>
          <t>待填写</t>
        </is>
      </c>
      <c r="H17" s="6" t="inlineStr">
        <is>
          <t>article-brand-building.html</t>
        </is>
      </c>
      <c r="I17" s="6" t="inlineStr"/>
    </row>
    <row r="18">
      <c r="A18" s="4" t="inlineStr">
        <is>
          <t>供应链管理优化</t>
        </is>
      </c>
      <c r="B18" s="4" t="inlineStr">
        <is>
          <t>长尾词</t>
        </is>
      </c>
      <c r="C18" s="4" t="inlineStr">
        <is>
          <t>中</t>
        </is>
      </c>
      <c r="D18" s="4" t="inlineStr">
        <is>
          <t>中</t>
        </is>
      </c>
      <c r="E18" s="4" t="inlineStr">
        <is>
          <t>待填写</t>
        </is>
      </c>
      <c r="F18" s="4" t="inlineStr">
        <is>
          <t>待填写</t>
        </is>
      </c>
      <c r="G18" s="4" t="inlineStr">
        <is>
          <t>待填写</t>
        </is>
      </c>
      <c r="H18" s="4" t="inlineStr">
        <is>
          <t>article-supply-chain.html</t>
        </is>
      </c>
      <c r="I18" s="4" t="inlineStr"/>
    </row>
    <row r="19">
      <c r="A19" s="6" t="inlineStr">
        <is>
          <t>绩效管理方案</t>
        </is>
      </c>
      <c r="B19" s="6" t="inlineStr">
        <is>
          <t>长尾词</t>
        </is>
      </c>
      <c r="C19" s="6" t="inlineStr">
        <is>
          <t>中</t>
        </is>
      </c>
      <c r="D19" s="6" t="inlineStr">
        <is>
          <t>中</t>
        </is>
      </c>
      <c r="E19" s="6" t="inlineStr">
        <is>
          <t>待填写</t>
        </is>
      </c>
      <c r="F19" s="6" t="inlineStr">
        <is>
          <t>待填写</t>
        </is>
      </c>
      <c r="G19" s="6" t="inlineStr">
        <is>
          <t>待填写</t>
        </is>
      </c>
      <c r="H19" s="6" t="inlineStr">
        <is>
          <t>article-performance-management.html</t>
        </is>
      </c>
      <c r="I19" s="6" t="inlineStr"/>
    </row>
    <row r="20">
      <c r="A20" s="4" t="inlineStr">
        <is>
          <t>销售业绩增长</t>
        </is>
      </c>
      <c r="B20" s="4" t="inlineStr">
        <is>
          <t>长尾词</t>
        </is>
      </c>
      <c r="C20" s="4" t="inlineStr">
        <is>
          <t>中</t>
        </is>
      </c>
      <c r="D20" s="4" t="inlineStr">
        <is>
          <t>低</t>
        </is>
      </c>
      <c r="E20" s="4" t="inlineStr">
        <is>
          <t>待填写</t>
        </is>
      </c>
      <c r="F20" s="4" t="inlineStr">
        <is>
          <t>待填写</t>
        </is>
      </c>
      <c r="G20" s="4" t="inlineStr">
        <is>
          <t>待填写</t>
        </is>
      </c>
      <c r="H20" s="4" t="inlineStr">
        <is>
          <t>article-sales-growth.html</t>
        </is>
      </c>
      <c r="I20" s="4" t="inlineStr"/>
    </row>
    <row r="21">
      <c r="A21" s="6" t="inlineStr">
        <is>
          <t>创业建议</t>
        </is>
      </c>
      <c r="B21" s="6" t="inlineStr">
        <is>
          <t>长尾词</t>
        </is>
      </c>
      <c r="C21" s="6" t="inlineStr">
        <is>
          <t>高</t>
        </is>
      </c>
      <c r="D21" s="6" t="inlineStr">
        <is>
          <t>中</t>
        </is>
      </c>
      <c r="E21" s="6" t="inlineStr">
        <is>
          <t>待填写</t>
        </is>
      </c>
      <c r="F21" s="6" t="inlineStr">
        <is>
          <t>待填写</t>
        </is>
      </c>
      <c r="G21" s="6" t="inlineStr">
        <is>
          <t>待填写</t>
        </is>
      </c>
      <c r="H21" s="6" t="inlineStr">
        <is>
          <t>article-entrepreneur-advice.html</t>
        </is>
      </c>
      <c r="I21" s="6" t="inlineStr"/>
    </row>
    <row r="22">
      <c r="A22" s="4" t="inlineStr">
        <is>
          <t>组织架构设计</t>
        </is>
      </c>
      <c r="B22" s="4" t="inlineStr">
        <is>
          <t>长尾词</t>
        </is>
      </c>
      <c r="C22" s="4" t="inlineStr">
        <is>
          <t>中</t>
        </is>
      </c>
      <c r="D22" s="4" t="inlineStr">
        <is>
          <t>中</t>
        </is>
      </c>
      <c r="E22" s="4" t="inlineStr">
        <is>
          <t>待填写</t>
        </is>
      </c>
      <c r="F22" s="4" t="inlineStr">
        <is>
          <t>待填写</t>
        </is>
      </c>
      <c r="G22" s="4" t="inlineStr">
        <is>
          <t>待填写</t>
        </is>
      </c>
      <c r="H22" s="4" t="inlineStr">
        <is>
          <t>article-organization-design.html</t>
        </is>
      </c>
      <c r="I22" s="4" t="inlineStr"/>
    </row>
    <row r="23">
      <c r="A23" s="6" t="inlineStr">
        <is>
          <t>企业营销策略</t>
        </is>
      </c>
      <c r="B23" s="6" t="inlineStr">
        <is>
          <t>长尾词</t>
        </is>
      </c>
      <c r="C23" s="6" t="inlineStr">
        <is>
          <t>中</t>
        </is>
      </c>
      <c r="D23" s="6" t="inlineStr">
        <is>
          <t>中</t>
        </is>
      </c>
      <c r="E23" s="6" t="inlineStr">
        <is>
          <t>待填写</t>
        </is>
      </c>
      <c r="F23" s="6" t="inlineStr">
        <is>
          <t>待填写</t>
        </is>
      </c>
      <c r="G23" s="6" t="inlineStr">
        <is>
          <t>待填写</t>
        </is>
      </c>
      <c r="H23" s="6" t="inlineStr">
        <is>
          <t>article-marketing-strategy.html</t>
        </is>
      </c>
      <c r="I23" s="6" t="inlineStr"/>
    </row>
    <row r="24">
      <c r="A24" s="4" t="inlineStr">
        <is>
          <t>客户成功管理</t>
        </is>
      </c>
      <c r="B24" s="4" t="inlineStr">
        <is>
          <t>长尾词</t>
        </is>
      </c>
      <c r="C24" s="4" t="inlineStr">
        <is>
          <t>低</t>
        </is>
      </c>
      <c r="D24" s="4" t="inlineStr">
        <is>
          <t>低</t>
        </is>
      </c>
      <c r="E24" s="4" t="inlineStr">
        <is>
          <t>待填写</t>
        </is>
      </c>
      <c r="F24" s="4" t="inlineStr">
        <is>
          <t>待填写</t>
        </is>
      </c>
      <c r="G24" s="4" t="inlineStr">
        <is>
          <t>待填写</t>
        </is>
      </c>
      <c r="H24" s="4" t="inlineStr">
        <is>
          <t>article-customer-success.html</t>
        </is>
      </c>
      <c r="I24" s="4" t="inlineStr"/>
    </row>
    <row r="25">
      <c r="A25" s="6" t="inlineStr">
        <is>
          <t>传统企业数字化转型</t>
        </is>
      </c>
      <c r="B25" s="6" t="inlineStr">
        <is>
          <t>长尾词</t>
        </is>
      </c>
      <c r="C25" s="6" t="inlineStr">
        <is>
          <t>中</t>
        </is>
      </c>
      <c r="D25" s="6" t="inlineStr">
        <is>
          <t>中</t>
        </is>
      </c>
      <c r="E25" s="6" t="inlineStr">
        <is>
          <t>待填写</t>
        </is>
      </c>
      <c r="F25" s="6" t="inlineStr">
        <is>
          <t>待填写</t>
        </is>
      </c>
      <c r="G25" s="6" t="inlineStr">
        <is>
          <t>待填写</t>
        </is>
      </c>
      <c r="H25" s="6" t="inlineStr">
        <is>
          <t>article-traditional-digital.html</t>
        </is>
      </c>
      <c r="I25" s="6" t="inlineStr"/>
    </row>
    <row r="26">
      <c r="A26" s="4" t="inlineStr">
        <is>
          <t>创业项目孵化</t>
        </is>
      </c>
      <c r="B26" s="4" t="inlineStr">
        <is>
          <t>长尾词</t>
        </is>
      </c>
      <c r="C26" s="4" t="inlineStr">
        <is>
          <t>低</t>
        </is>
      </c>
      <c r="D26" s="4" t="inlineStr">
        <is>
          <t>低</t>
        </is>
      </c>
      <c r="E26" s="4" t="inlineStr">
        <is>
          <t>待填写</t>
        </is>
      </c>
      <c r="F26" s="4" t="inlineStr">
        <is>
          <t>待填写</t>
        </is>
      </c>
      <c r="G26" s="4" t="inlineStr">
        <is>
          <t>待填写</t>
        </is>
      </c>
      <c r="H26" s="4" t="inlineStr">
        <is>
          <t>article-startup-incubation.html</t>
        </is>
      </c>
      <c r="I26" s="4" t="inlineStr"/>
    </row>
    <row r="27">
      <c r="A27" s="6" t="inlineStr">
        <is>
          <t>中小企业做品牌</t>
        </is>
      </c>
      <c r="B27" s="6" t="inlineStr">
        <is>
          <t>长尾词</t>
        </is>
      </c>
      <c r="C27" s="6" t="inlineStr">
        <is>
          <t>中</t>
        </is>
      </c>
      <c r="D27" s="6" t="inlineStr">
        <is>
          <t>低</t>
        </is>
      </c>
      <c r="E27" s="6" t="inlineStr">
        <is>
          <t>待填写</t>
        </is>
      </c>
      <c r="F27" s="6" t="inlineStr">
        <is>
          <t>待填写</t>
        </is>
      </c>
      <c r="G27" s="6" t="inlineStr">
        <is>
          <t>待填写</t>
        </is>
      </c>
      <c r="H27" s="6" t="inlineStr">
        <is>
          <t>article-brand-building.html</t>
        </is>
      </c>
      <c r="I27" s="6" t="inlineStr"/>
    </row>
    <row r="28">
      <c r="A28" s="4" t="inlineStr">
        <is>
          <t>企业战略规划怎么做</t>
        </is>
      </c>
      <c r="B28" s="4" t="inlineStr">
        <is>
          <t>长尾词</t>
        </is>
      </c>
      <c r="C28" s="4" t="inlineStr">
        <is>
          <t>中</t>
        </is>
      </c>
      <c r="D28" s="4" t="inlineStr">
        <is>
          <t>中</t>
        </is>
      </c>
      <c r="E28" s="4" t="inlineStr">
        <is>
          <t>待填写</t>
        </is>
      </c>
      <c r="F28" s="4" t="inlineStr">
        <is>
          <t>待填写</t>
        </is>
      </c>
      <c r="G28" s="4" t="inlineStr">
        <is>
          <t>待填写</t>
        </is>
      </c>
      <c r="H28" s="4" t="inlineStr">
        <is>
          <t>article-strategy-planning.html</t>
        </is>
      </c>
      <c r="I28" s="4" t="inlineStr"/>
    </row>
    <row r="29">
      <c r="A29" s="6" t="inlineStr">
        <is>
          <t>绩效和OKR的区别</t>
        </is>
      </c>
      <c r="B29" s="6" t="inlineStr">
        <is>
          <t>长尾词</t>
        </is>
      </c>
      <c r="C29" s="6" t="inlineStr">
        <is>
          <t>中</t>
        </is>
      </c>
      <c r="D29" s="6" t="inlineStr">
        <is>
          <t>低</t>
        </is>
      </c>
      <c r="E29" s="6" t="inlineStr">
        <is>
          <t>待填写</t>
        </is>
      </c>
      <c r="F29" s="6" t="inlineStr">
        <is>
          <t>待填写</t>
        </is>
      </c>
      <c r="G29" s="6" t="inlineStr">
        <is>
          <t>待填写</t>
        </is>
      </c>
      <c r="H29" s="6" t="inlineStr">
        <is>
          <t>article-performance-management.html</t>
        </is>
      </c>
      <c r="I29" s="6" t="inlineStr"/>
    </row>
    <row r="30">
      <c r="A30" s="4" t="inlineStr">
        <is>
          <t>从0到1做品牌</t>
        </is>
      </c>
      <c r="B30" s="4" t="inlineStr">
        <is>
          <t>长尾词</t>
        </is>
      </c>
      <c r="C30" s="4" t="inlineStr">
        <is>
          <t>中</t>
        </is>
      </c>
      <c r="D30" s="4" t="inlineStr">
        <is>
          <t>低</t>
        </is>
      </c>
      <c r="E30" s="4" t="inlineStr">
        <is>
          <t>待填写</t>
        </is>
      </c>
      <c r="F30" s="4" t="inlineStr">
        <is>
          <t>待填写</t>
        </is>
      </c>
      <c r="G30" s="4" t="inlineStr">
        <is>
          <t>待填写</t>
        </is>
      </c>
      <c r="H30" s="4" t="inlineStr">
        <is>
          <t>article-brand-building.html</t>
        </is>
      </c>
      <c r="I30" s="4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2" customWidth="1" min="3" max="3"/>
    <col width="12" customWidth="1" min="4" max="4"/>
    <col width="10" customWidth="1" min="5" max="5"/>
    <col width="12" customWidth="1" min="6" max="6"/>
    <col width="14" customWidth="1" min="7" max="7"/>
    <col width="12" customWidth="1" min="8" max="8"/>
    <col width="3" customWidth="1" min="9" max="9"/>
    <col width="12" customWidth="1" min="10" max="10"/>
    <col width="12" customWidth="1" min="11" max="11"/>
  </cols>
  <sheetData>
    <row r="1" ht="40" customHeight="1">
      <c r="A1" s="1" t="inlineStr">
        <is>
          <t>内容产出与收录监控表</t>
        </is>
      </c>
    </row>
    <row r="3">
      <c r="A3" s="3" t="inlineStr">
        <is>
          <t>页面/文章</t>
        </is>
      </c>
      <c r="B3" s="3" t="inlineStr">
        <is>
          <t>类型</t>
        </is>
      </c>
      <c r="C3" s="3" t="inlineStr">
        <is>
          <t>核心关键词</t>
        </is>
      </c>
      <c r="D3" s="3" t="inlineStr">
        <is>
          <t>发布日期</t>
        </is>
      </c>
      <c r="E3" s="3" t="inlineStr">
        <is>
          <t>百度收录</t>
        </is>
      </c>
      <c r="F3" s="3" t="inlineStr">
        <is>
          <t>流量（月）</t>
        </is>
      </c>
      <c r="G3" s="3" t="inlineStr">
        <is>
          <t>排名（最高）</t>
        </is>
      </c>
      <c r="H3" s="3" t="inlineStr">
        <is>
          <t>备注</t>
        </is>
      </c>
      <c r="J3" s="2" t="inlineStr">
        <is>
          <t>内容统计</t>
        </is>
      </c>
    </row>
    <row r="4">
      <c r="A4" s="8" t="inlineStr">
        <is>
          <t>首页</t>
        </is>
      </c>
      <c r="B4" s="8" t="inlineStr">
        <is>
          <t>首页</t>
        </is>
      </c>
      <c r="C4" s="8" t="inlineStr">
        <is>
          <t>企业管理咨询</t>
        </is>
      </c>
      <c r="D4" s="8" t="inlineStr">
        <is>
          <t>2026-07</t>
        </is>
      </c>
      <c r="E4" s="8" t="inlineStr">
        <is>
          <t>待填写</t>
        </is>
      </c>
      <c r="F4" s="8" t="inlineStr">
        <is>
          <t>待填写</t>
        </is>
      </c>
      <c r="G4" s="8" t="inlineStr">
        <is>
          <t>待填写</t>
        </is>
      </c>
      <c r="H4" s="8" t="inlineStr"/>
      <c r="I4" s="8" t="n"/>
      <c r="J4" s="8" t="inlineStr">
        <is>
          <t>指标</t>
        </is>
      </c>
      <c r="K4" s="8" t="inlineStr">
        <is>
          <t>数量</t>
        </is>
      </c>
    </row>
    <row r="5">
      <c r="A5" s="6" t="inlineStr">
        <is>
          <t>服务页</t>
        </is>
      </c>
      <c r="B5" s="6" t="inlineStr">
        <is>
          <t>栏目页</t>
        </is>
      </c>
      <c r="C5" s="6" t="inlineStr">
        <is>
          <t>战略咨询/组织变革</t>
        </is>
      </c>
      <c r="D5" s="6" t="inlineStr">
        <is>
          <t>2026-07</t>
        </is>
      </c>
      <c r="E5" s="6" t="inlineStr">
        <is>
          <t>待填写</t>
        </is>
      </c>
      <c r="F5" s="6" t="inlineStr">
        <is>
          <t>待填写</t>
        </is>
      </c>
      <c r="G5" s="6" t="inlineStr">
        <is>
          <t>待填写</t>
        </is>
      </c>
      <c r="H5" s="6" t="inlineStr"/>
      <c r="J5" t="inlineStr">
        <is>
          <t>总页面数</t>
        </is>
      </c>
      <c r="K5">
        <f>COUNTA(A:A)-3</f>
        <v/>
      </c>
    </row>
    <row r="6">
      <c r="A6" s="4" t="inlineStr">
        <is>
          <t>案例页</t>
        </is>
      </c>
      <c r="B6" s="4" t="inlineStr">
        <is>
          <t>栏目页</t>
        </is>
      </c>
      <c r="C6" s="4" t="inlineStr">
        <is>
          <t>企业咨询案例</t>
        </is>
      </c>
      <c r="D6" s="4" t="inlineStr">
        <is>
          <t>2026-07</t>
        </is>
      </c>
      <c r="E6" s="4" t="inlineStr">
        <is>
          <t>待填写</t>
        </is>
      </c>
      <c r="F6" s="4" t="inlineStr">
        <is>
          <t>待填写</t>
        </is>
      </c>
      <c r="G6" s="4" t="inlineStr">
        <is>
          <t>待填写</t>
        </is>
      </c>
      <c r="H6" s="4" t="inlineStr"/>
      <c r="J6" t="inlineStr">
        <is>
          <t>已收录</t>
        </is>
      </c>
      <c r="K6" s="9">
        <f>COUNTIF(E:E,"已收录")</f>
        <v/>
      </c>
    </row>
    <row r="7">
      <c r="A7" s="6" t="inlineStr">
        <is>
          <t>关于页</t>
        </is>
      </c>
      <c r="B7" s="6" t="inlineStr">
        <is>
          <t>栏目页</t>
        </is>
      </c>
      <c r="C7" s="6" t="inlineStr">
        <is>
          <t>关于众力聚鑫</t>
        </is>
      </c>
      <c r="D7" s="6" t="inlineStr">
        <is>
          <t>2026-07</t>
        </is>
      </c>
      <c r="E7" s="6" t="inlineStr">
        <is>
          <t>待填写</t>
        </is>
      </c>
      <c r="F7" s="6" t="inlineStr">
        <is>
          <t>待填写</t>
        </is>
      </c>
      <c r="G7" s="6" t="inlineStr">
        <is>
          <t>待填写</t>
        </is>
      </c>
      <c r="H7" s="6" t="inlineStr"/>
      <c r="J7" t="inlineStr">
        <is>
          <t>收录率</t>
        </is>
      </c>
      <c r="K7">
        <f>K5/K4</f>
        <v/>
      </c>
    </row>
    <row r="8">
      <c r="A8" s="4" t="inlineStr">
        <is>
          <t>联系页</t>
        </is>
      </c>
      <c r="B8" s="4" t="inlineStr">
        <is>
          <t>栏目页</t>
        </is>
      </c>
      <c r="C8" s="4" t="inlineStr">
        <is>
          <t>免费企业诊断</t>
        </is>
      </c>
      <c r="D8" s="4" t="inlineStr">
        <is>
          <t>2026-07</t>
        </is>
      </c>
      <c r="E8" s="4" t="inlineStr">
        <is>
          <t>待填写</t>
        </is>
      </c>
      <c r="F8" s="4" t="inlineStr">
        <is>
          <t>待填写</t>
        </is>
      </c>
      <c r="G8" s="4" t="inlineStr">
        <is>
          <t>待填写</t>
        </is>
      </c>
      <c r="H8" s="4" t="inlineStr"/>
      <c r="J8" t="inlineStr">
        <is>
          <t>有流量页面</t>
        </is>
      </c>
      <c r="K8" t="inlineStr">
        <is>
          <t>待统计</t>
        </is>
      </c>
    </row>
    <row r="9">
      <c r="A9" s="6" t="inlineStr">
        <is>
          <t>课程页</t>
        </is>
      </c>
      <c r="B9" s="6" t="inlineStr">
        <is>
          <t>栏目页</t>
        </is>
      </c>
      <c r="C9" s="6" t="inlineStr">
        <is>
          <t>企业增长课程</t>
        </is>
      </c>
      <c r="D9" s="6" t="inlineStr">
        <is>
          <t>2026-07</t>
        </is>
      </c>
      <c r="E9" s="6" t="inlineStr">
        <is>
          <t>待填写</t>
        </is>
      </c>
      <c r="F9" s="6" t="inlineStr">
        <is>
          <t>待填写</t>
        </is>
      </c>
      <c r="G9" s="6" t="inlineStr">
        <is>
          <t>待填写</t>
        </is>
      </c>
      <c r="H9" s="6" t="inlineStr"/>
    </row>
    <row r="10">
      <c r="A10" s="4" t="inlineStr">
        <is>
          <t>企业战略规划方法论</t>
        </is>
      </c>
      <c r="B10" s="4" t="inlineStr">
        <is>
          <t>文章</t>
        </is>
      </c>
      <c r="C10" s="4" t="inlineStr">
        <is>
          <t>企业战略规划</t>
        </is>
      </c>
      <c r="D10" s="4" t="inlineStr">
        <is>
          <t>2026-07</t>
        </is>
      </c>
      <c r="E10" s="4" t="inlineStr">
        <is>
          <t>待填写</t>
        </is>
      </c>
      <c r="F10" s="4" t="inlineStr">
        <is>
          <t>待填写</t>
        </is>
      </c>
      <c r="G10" s="4" t="inlineStr">
        <is>
          <t>待填写</t>
        </is>
      </c>
      <c r="H10" s="4" t="inlineStr"/>
    </row>
    <row r="11">
      <c r="A11" s="6" t="inlineStr">
        <is>
          <t>组织变革管理</t>
        </is>
      </c>
      <c r="B11" s="6" t="inlineStr">
        <is>
          <t>文章</t>
        </is>
      </c>
      <c r="C11" s="6" t="inlineStr">
        <is>
          <t>组织变革</t>
        </is>
      </c>
      <c r="D11" s="6" t="inlineStr">
        <is>
          <t>2026-07</t>
        </is>
      </c>
      <c r="E11" s="6" t="inlineStr">
        <is>
          <t>待填写</t>
        </is>
      </c>
      <c r="F11" s="6" t="inlineStr">
        <is>
          <t>待填写</t>
        </is>
      </c>
      <c r="G11" s="6" t="inlineStr">
        <is>
          <t>待填写</t>
        </is>
      </c>
      <c r="H11" s="6" t="inlineStr"/>
    </row>
    <row r="12">
      <c r="A12" s="4" t="inlineStr">
        <is>
          <t>数字化转型指南</t>
        </is>
      </c>
      <c r="B12" s="4" t="inlineStr">
        <is>
          <t>文章</t>
        </is>
      </c>
      <c r="C12" s="4" t="inlineStr">
        <is>
          <t>数字化转型</t>
        </is>
      </c>
      <c r="D12" s="4" t="inlineStr">
        <is>
          <t>2026-07</t>
        </is>
      </c>
      <c r="E12" s="4" t="inlineStr">
        <is>
          <t>待填写</t>
        </is>
      </c>
      <c r="F12" s="4" t="inlineStr">
        <is>
          <t>待填写</t>
        </is>
      </c>
      <c r="G12" s="4" t="inlineStr">
        <is>
          <t>待填写</t>
        </is>
      </c>
      <c r="H12" s="4" t="inlineStr"/>
    </row>
    <row r="13">
      <c r="A13" s="6" t="inlineStr">
        <is>
          <t>降本增效方案</t>
        </is>
      </c>
      <c r="B13" s="6" t="inlineStr">
        <is>
          <t>文章</t>
        </is>
      </c>
      <c r="C13" s="6" t="inlineStr">
        <is>
          <t>降本增效</t>
        </is>
      </c>
      <c r="D13" s="6" t="inlineStr">
        <is>
          <t>2026-07</t>
        </is>
      </c>
      <c r="E13" s="6" t="inlineStr">
        <is>
          <t>待填写</t>
        </is>
      </c>
      <c r="F13" s="6" t="inlineStr">
        <is>
          <t>待填写</t>
        </is>
      </c>
      <c r="G13" s="6" t="inlineStr">
        <is>
          <t>待填写</t>
        </is>
      </c>
      <c r="H13" s="6" t="inlineStr">
        <is>
          <t>新发布</t>
        </is>
      </c>
    </row>
    <row r="14">
      <c r="A14" s="4" t="inlineStr">
        <is>
          <t>团队建设方法</t>
        </is>
      </c>
      <c r="B14" s="4" t="inlineStr">
        <is>
          <t>文章</t>
        </is>
      </c>
      <c r="C14" s="4" t="inlineStr">
        <is>
          <t>团队建设</t>
        </is>
      </c>
      <c r="D14" s="4" t="inlineStr">
        <is>
          <t>2026-07</t>
        </is>
      </c>
      <c r="E14" s="4" t="inlineStr">
        <is>
          <t>待填写</t>
        </is>
      </c>
      <c r="F14" s="4" t="inlineStr">
        <is>
          <t>待填写</t>
        </is>
      </c>
      <c r="G14" s="4" t="inlineStr">
        <is>
          <t>待填写</t>
        </is>
      </c>
      <c r="H14" s="4" t="inlineStr">
        <is>
          <t>新发布</t>
        </is>
      </c>
    </row>
    <row r="15">
      <c r="A15" s="6" t="inlineStr">
        <is>
          <t>品牌建设方法论</t>
        </is>
      </c>
      <c r="B15" s="6" t="inlineStr">
        <is>
          <t>文章</t>
        </is>
      </c>
      <c r="C15" s="6" t="inlineStr">
        <is>
          <t>品牌建设</t>
        </is>
      </c>
      <c r="D15" s="6" t="inlineStr">
        <is>
          <t>2026-07</t>
        </is>
      </c>
      <c r="E15" s="6" t="inlineStr">
        <is>
          <t>待填写</t>
        </is>
      </c>
      <c r="F15" s="6" t="inlineStr">
        <is>
          <t>待填写</t>
        </is>
      </c>
      <c r="G15" s="6" t="inlineStr">
        <is>
          <t>待填写</t>
        </is>
      </c>
      <c r="H15" s="6" t="inlineStr">
        <is>
          <t>新发布</t>
        </is>
      </c>
    </row>
    <row r="16">
      <c r="A16" s="4" t="inlineStr">
        <is>
          <t>供应链管理优化</t>
        </is>
      </c>
      <c r="B16" s="4" t="inlineStr">
        <is>
          <t>文章</t>
        </is>
      </c>
      <c r="C16" s="4" t="inlineStr">
        <is>
          <t>供应链管理</t>
        </is>
      </c>
      <c r="D16" s="4" t="inlineStr">
        <is>
          <t>2026-07</t>
        </is>
      </c>
      <c r="E16" s="4" t="inlineStr">
        <is>
          <t>待填写</t>
        </is>
      </c>
      <c r="F16" s="4" t="inlineStr">
        <is>
          <t>待填写</t>
        </is>
      </c>
      <c r="G16" s="4" t="inlineStr">
        <is>
          <t>待填写</t>
        </is>
      </c>
      <c r="H16" s="4" t="inlineStr">
        <is>
          <t>新发布</t>
        </is>
      </c>
    </row>
    <row r="17">
      <c r="A17" s="6" t="inlineStr">
        <is>
          <t>绩效管理方案</t>
        </is>
      </c>
      <c r="B17" s="6" t="inlineStr">
        <is>
          <t>文章</t>
        </is>
      </c>
      <c r="C17" s="6" t="inlineStr">
        <is>
          <t>绩效管理</t>
        </is>
      </c>
      <c r="D17" s="6" t="inlineStr">
        <is>
          <t>2026-07</t>
        </is>
      </c>
      <c r="E17" s="6" t="inlineStr">
        <is>
          <t>待填写</t>
        </is>
      </c>
      <c r="F17" s="6" t="inlineStr">
        <is>
          <t>待填写</t>
        </is>
      </c>
      <c r="G17" s="6" t="inlineStr">
        <is>
          <t>待填写</t>
        </is>
      </c>
      <c r="H17" s="6" t="inlineStr">
        <is>
          <t>新发布</t>
        </is>
      </c>
    </row>
    <row r="18">
      <c r="A18" s="4" t="inlineStr">
        <is>
          <t>销售业绩增长</t>
        </is>
      </c>
      <c r="B18" s="4" t="inlineStr">
        <is>
          <t>文章</t>
        </is>
      </c>
      <c r="C18" s="4" t="inlineStr">
        <is>
          <t>销售业绩增长</t>
        </is>
      </c>
      <c r="D18" s="4" t="inlineStr">
        <is>
          <t>2026-07</t>
        </is>
      </c>
      <c r="E18" s="4" t="inlineStr">
        <is>
          <t>待填写</t>
        </is>
      </c>
      <c r="F18" s="4" t="inlineStr">
        <is>
          <t>待填写</t>
        </is>
      </c>
      <c r="G18" s="4" t="inlineStr">
        <is>
          <t>待填写</t>
        </is>
      </c>
      <c r="H18" s="4" t="inlineStr">
        <is>
          <t>新发布</t>
        </is>
      </c>
    </row>
    <row r="19">
      <c r="A19" s="6" t="inlineStr">
        <is>
          <t>创业忠告20条</t>
        </is>
      </c>
      <c r="B19" s="6" t="inlineStr">
        <is>
          <t>文章</t>
        </is>
      </c>
      <c r="C19" s="6" t="inlineStr">
        <is>
          <t>创业建议</t>
        </is>
      </c>
      <c r="D19" s="6" t="inlineStr">
        <is>
          <t>2026-07</t>
        </is>
      </c>
      <c r="E19" s="6" t="inlineStr">
        <is>
          <t>待填写</t>
        </is>
      </c>
      <c r="F19" s="6" t="inlineStr">
        <is>
          <t>待填写</t>
        </is>
      </c>
      <c r="G19" s="6" t="inlineStr">
        <is>
          <t>待填写</t>
        </is>
      </c>
      <c r="H19" s="6" t="inlineStr">
        <is>
          <t>新发布</t>
        </is>
      </c>
    </row>
    <row r="20">
      <c r="A20" s="4" t="inlineStr">
        <is>
          <t>组织架构设计</t>
        </is>
      </c>
      <c r="B20" s="4" t="inlineStr">
        <is>
          <t>文章</t>
        </is>
      </c>
      <c r="C20" s="4" t="inlineStr">
        <is>
          <t>组织架构设计</t>
        </is>
      </c>
      <c r="D20" s="4" t="inlineStr">
        <is>
          <t>2026-07</t>
        </is>
      </c>
      <c r="E20" s="4" t="inlineStr">
        <is>
          <t>待填写</t>
        </is>
      </c>
      <c r="F20" s="4" t="inlineStr">
        <is>
          <t>待填写</t>
        </is>
      </c>
      <c r="G20" s="4" t="inlineStr">
        <is>
          <t>待填写</t>
        </is>
      </c>
      <c r="H20" s="4" t="inlineStr">
        <is>
          <t>新发布</t>
        </is>
      </c>
    </row>
    <row r="21">
      <c r="A21" s="6" t="inlineStr">
        <is>
          <t>企业营销策略</t>
        </is>
      </c>
      <c r="B21" s="6" t="inlineStr">
        <is>
          <t>文章</t>
        </is>
      </c>
      <c r="C21" s="6" t="inlineStr">
        <is>
          <t>企业营销策略</t>
        </is>
      </c>
      <c r="D21" s="6" t="inlineStr">
        <is>
          <t>2026-07</t>
        </is>
      </c>
      <c r="E21" s="6" t="inlineStr">
        <is>
          <t>待填写</t>
        </is>
      </c>
      <c r="F21" s="6" t="inlineStr">
        <is>
          <t>待填写</t>
        </is>
      </c>
      <c r="G21" s="6" t="inlineStr">
        <is>
          <t>待填写</t>
        </is>
      </c>
      <c r="H21" s="6" t="inlineStr">
        <is>
          <t>新发布</t>
        </is>
      </c>
    </row>
    <row r="22">
      <c r="A22" s="4" t="inlineStr">
        <is>
          <t>客户成功管理</t>
        </is>
      </c>
      <c r="B22" s="4" t="inlineStr">
        <is>
          <t>文章</t>
        </is>
      </c>
      <c r="C22" s="4" t="inlineStr">
        <is>
          <t>客户成功</t>
        </is>
      </c>
      <c r="D22" s="4" t="inlineStr">
        <is>
          <t>2026-07</t>
        </is>
      </c>
      <c r="E22" s="4" t="inlineStr">
        <is>
          <t>待填写</t>
        </is>
      </c>
      <c r="F22" s="4" t="inlineStr">
        <is>
          <t>待填写</t>
        </is>
      </c>
      <c r="G22" s="4" t="inlineStr">
        <is>
          <t>待填写</t>
        </is>
      </c>
      <c r="H22" s="4" t="inlineStr">
        <is>
          <t>新发布</t>
        </is>
      </c>
    </row>
    <row r="23">
      <c r="A23" s="6" t="inlineStr">
        <is>
          <t>深圳咨询公司指南</t>
        </is>
      </c>
      <c r="B23" s="6" t="inlineStr">
        <is>
          <t>文章</t>
        </is>
      </c>
      <c r="C23" s="6" t="inlineStr">
        <is>
          <t>深圳企业咨询</t>
        </is>
      </c>
      <c r="D23" s="6" t="inlineStr">
        <is>
          <t>2026-07</t>
        </is>
      </c>
      <c r="E23" s="6" t="inlineStr">
        <is>
          <t>待填写</t>
        </is>
      </c>
      <c r="F23" s="6" t="inlineStr">
        <is>
          <t>待填写</t>
        </is>
      </c>
      <c r="G23" s="6" t="inlineStr">
        <is>
          <t>待填写</t>
        </is>
      </c>
      <c r="H23" s="6" t="inlineStr">
        <is>
          <t>新发布</t>
        </is>
      </c>
    </row>
    <row r="24">
      <c r="A24" s="4" t="inlineStr">
        <is>
          <t>咨询费用详解</t>
        </is>
      </c>
      <c r="B24" s="4" t="inlineStr">
        <is>
          <t>文章</t>
        </is>
      </c>
      <c r="C24" s="4" t="inlineStr">
        <is>
          <t>企业咨询费用</t>
        </is>
      </c>
      <c r="D24" s="4" t="inlineStr">
        <is>
          <t>2026-07</t>
        </is>
      </c>
      <c r="E24" s="4" t="inlineStr">
        <is>
          <t>待填写</t>
        </is>
      </c>
      <c r="F24" s="4" t="inlineStr">
        <is>
          <t>待填写</t>
        </is>
      </c>
      <c r="G24" s="4" t="inlineStr">
        <is>
          <t>待填写</t>
        </is>
      </c>
      <c r="H24" s="4" t="inlineStr">
        <is>
          <t>新发布</t>
        </is>
      </c>
    </row>
    <row r="25">
      <c r="A25" s="6" t="inlineStr">
        <is>
          <t>增长瓶颈突破</t>
        </is>
      </c>
      <c r="B25" s="6" t="inlineStr">
        <is>
          <t>文章</t>
        </is>
      </c>
      <c r="C25" s="6" t="inlineStr">
        <is>
          <t>企业增长瓶颈</t>
        </is>
      </c>
      <c r="D25" s="6" t="inlineStr">
        <is>
          <t>2026-07</t>
        </is>
      </c>
      <c r="E25" s="6" t="inlineStr">
        <is>
          <t>待填写</t>
        </is>
      </c>
      <c r="F25" s="6" t="inlineStr">
        <is>
          <t>待填写</t>
        </is>
      </c>
      <c r="G25" s="6" t="inlineStr">
        <is>
          <t>待填写</t>
        </is>
      </c>
      <c r="H25" s="6" t="inlineStr">
        <is>
          <t>新发布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2" customWidth="1" min="4" max="4"/>
    <col width="28" customWidth="1" min="5" max="5"/>
    <col width="10" customWidth="1" min="6" max="6"/>
    <col width="12" customWidth="1" min="7" max="7"/>
    <col width="3" customWidth="1" min="8" max="8"/>
    <col width="12" customWidth="1" min="9" max="9"/>
    <col width="12" customWidth="1" min="10" max="10"/>
  </cols>
  <sheetData>
    <row r="1" ht="40" customHeight="1">
      <c r="A1" s="1" t="inlineStr">
        <is>
          <t>外链建设监控表</t>
        </is>
      </c>
    </row>
    <row r="3">
      <c r="A3" s="3" t="inlineStr">
        <is>
          <t>平台</t>
        </is>
      </c>
      <c r="B3" s="3" t="inlineStr">
        <is>
          <t>类型</t>
        </is>
      </c>
      <c r="C3" s="3" t="inlineStr">
        <is>
          <t>发布内容</t>
        </is>
      </c>
      <c r="D3" s="3" t="inlineStr">
        <is>
          <t>发布日期</t>
        </is>
      </c>
      <c r="E3" s="3" t="inlineStr">
        <is>
          <t>外链URL</t>
        </is>
      </c>
      <c r="F3" s="3" t="inlineStr">
        <is>
          <t>是否收录</t>
        </is>
      </c>
      <c r="G3" s="3" t="inlineStr">
        <is>
          <t>效果评估</t>
        </is>
      </c>
      <c r="I3" s="2" t="inlineStr">
        <is>
          <t>外链统计</t>
        </is>
      </c>
    </row>
    <row r="4">
      <c r="A4" s="8" t="inlineStr">
        <is>
          <t>知乎</t>
        </is>
      </c>
      <c r="B4" s="8" t="inlineStr">
        <is>
          <t>问答</t>
        </is>
      </c>
      <c r="C4" s="8" t="inlineStr">
        <is>
          <t>国内有哪些好的企业管理咨询公司？</t>
        </is>
      </c>
      <c r="D4" s="8" t="inlineStr">
        <is>
          <t>待填写</t>
        </is>
      </c>
      <c r="E4" s="8" t="inlineStr">
        <is>
          <t>待填写</t>
        </is>
      </c>
      <c r="F4" s="8" t="inlineStr">
        <is>
          <t>待填写</t>
        </is>
      </c>
      <c r="G4" s="8" t="inlineStr"/>
      <c r="H4" s="8" t="n"/>
      <c r="I4" s="8" t="inlineStr">
        <is>
          <t>指标</t>
        </is>
      </c>
      <c r="J4" s="8" t="inlineStr">
        <is>
          <t>数量</t>
        </is>
      </c>
    </row>
    <row r="5">
      <c r="A5" s="6" t="inlineStr">
        <is>
          <t>知乎</t>
        </is>
      </c>
      <c r="B5" s="6" t="inlineStr">
        <is>
          <t>问答</t>
        </is>
      </c>
      <c r="C5" s="6" t="inlineStr">
        <is>
          <t>企业管理咨询真的有用吗？</t>
        </is>
      </c>
      <c r="D5" s="6" t="inlineStr">
        <is>
          <t>待填写</t>
        </is>
      </c>
      <c r="E5" s="6" t="inlineStr">
        <is>
          <t>待填写</t>
        </is>
      </c>
      <c r="F5" s="6" t="inlineStr">
        <is>
          <t>待填写</t>
        </is>
      </c>
      <c r="G5" s="6" t="inlineStr"/>
      <c r="I5" t="inlineStr">
        <is>
          <t>计划发布</t>
        </is>
      </c>
      <c r="J5">
        <f>COUNTA(A:A)-3</f>
        <v/>
      </c>
    </row>
    <row r="6">
      <c r="A6" s="4" t="inlineStr">
        <is>
          <t>知乎</t>
        </is>
      </c>
      <c r="B6" s="4" t="inlineStr">
        <is>
          <t>问答</t>
        </is>
      </c>
      <c r="C6" s="4" t="inlineStr">
        <is>
          <t>企业遇到增长瓶颈怎么办？</t>
        </is>
      </c>
      <c r="D6" s="4" t="inlineStr">
        <is>
          <t>待填写</t>
        </is>
      </c>
      <c r="E6" s="4" t="inlineStr">
        <is>
          <t>待填写</t>
        </is>
      </c>
      <c r="F6" s="4" t="inlineStr">
        <is>
          <t>待填写</t>
        </is>
      </c>
      <c r="G6" s="4" t="inlineStr"/>
      <c r="I6" t="inlineStr">
        <is>
          <t>已发布</t>
        </is>
      </c>
      <c r="J6" t="inlineStr">
        <is>
          <t>待统计</t>
        </is>
      </c>
    </row>
    <row r="7">
      <c r="A7" s="6" t="inlineStr">
        <is>
          <t>知乎</t>
        </is>
      </c>
      <c r="B7" s="6" t="inlineStr">
        <is>
          <t>文章</t>
        </is>
      </c>
      <c r="C7" s="6" t="inlineStr">
        <is>
          <t>做了15年企业咨询，见过的10种作死企业</t>
        </is>
      </c>
      <c r="D7" s="6" t="inlineStr">
        <is>
          <t>待填写</t>
        </is>
      </c>
      <c r="E7" s="6" t="inlineStr">
        <is>
          <t>待填写</t>
        </is>
      </c>
      <c r="F7" s="6" t="inlineStr">
        <is>
          <t>待填写</t>
        </is>
      </c>
      <c r="G7" s="6" t="inlineStr"/>
      <c r="I7" t="inlineStr">
        <is>
          <t>已收录</t>
        </is>
      </c>
      <c r="J7" t="inlineStr">
        <is>
          <t>待统计</t>
        </is>
      </c>
    </row>
    <row r="8">
      <c r="A8" s="4" t="inlineStr">
        <is>
          <t>知乎</t>
        </is>
      </c>
      <c r="B8" s="4" t="inlineStr">
        <is>
          <t>文章</t>
        </is>
      </c>
      <c r="C8" s="4" t="inlineStr">
        <is>
          <t>为什么90%的企业战略规划都是废纸？</t>
        </is>
      </c>
      <c r="D8" s="4" t="inlineStr">
        <is>
          <t>待填写</t>
        </is>
      </c>
      <c r="E8" s="4" t="inlineStr">
        <is>
          <t>待填写</t>
        </is>
      </c>
      <c r="F8" s="4" t="inlineStr">
        <is>
          <t>待填写</t>
        </is>
      </c>
      <c r="G8" s="4" t="inlineStr"/>
      <c r="I8" t="inlineStr">
        <is>
          <t>高质量外链</t>
        </is>
      </c>
      <c r="J8" t="inlineStr">
        <is>
          <t>待统计</t>
        </is>
      </c>
    </row>
    <row r="9">
      <c r="A9" s="6" t="inlineStr">
        <is>
          <t>百度知道</t>
        </is>
      </c>
      <c r="B9" s="6" t="inlineStr">
        <is>
          <t>问答</t>
        </is>
      </c>
      <c r="C9" s="6" t="inlineStr">
        <is>
          <t>深圳企业管理咨询公司哪家好？</t>
        </is>
      </c>
      <c r="D9" s="6" t="inlineStr">
        <is>
          <t>待填写</t>
        </is>
      </c>
      <c r="E9" s="6" t="inlineStr">
        <is>
          <t>待填写</t>
        </is>
      </c>
      <c r="F9" s="6" t="inlineStr">
        <is>
          <t>待填写</t>
        </is>
      </c>
      <c r="G9" s="6" t="inlineStr"/>
    </row>
    <row r="10">
      <c r="A10" s="4" t="inlineStr">
        <is>
          <t>百度知道</t>
        </is>
      </c>
      <c r="B10" s="4" t="inlineStr">
        <is>
          <t>问答</t>
        </is>
      </c>
      <c r="C10" s="4" t="inlineStr">
        <is>
          <t>企业咨询一般多少钱？</t>
        </is>
      </c>
      <c r="D10" s="4" t="inlineStr">
        <is>
          <t>待填写</t>
        </is>
      </c>
      <c r="E10" s="4" t="inlineStr">
        <is>
          <t>待填写</t>
        </is>
      </c>
      <c r="F10" s="4" t="inlineStr">
        <is>
          <t>待填写</t>
        </is>
      </c>
      <c r="G10" s="4" t="inlineStr"/>
    </row>
    <row r="11">
      <c r="A11" s="6" t="inlineStr">
        <is>
          <t>百度知道</t>
        </is>
      </c>
      <c r="B11" s="6" t="inlineStr">
        <is>
          <t>问答</t>
        </is>
      </c>
      <c r="C11" s="6" t="inlineStr">
        <is>
          <t>项目孵化是什么意思？</t>
        </is>
      </c>
      <c r="D11" s="6" t="inlineStr">
        <is>
          <t>待填写</t>
        </is>
      </c>
      <c r="E11" s="6" t="inlineStr">
        <is>
          <t>待填写</t>
        </is>
      </c>
      <c r="F11" s="6" t="inlineStr">
        <is>
          <t>待填写</t>
        </is>
      </c>
      <c r="G11" s="6" t="inlineStr"/>
    </row>
    <row r="12">
      <c r="A12" s="4" t="inlineStr">
        <is>
          <t>简书</t>
        </is>
      </c>
      <c r="B12" s="4" t="inlineStr">
        <is>
          <t>博客</t>
        </is>
      </c>
      <c r="C12" s="4" t="inlineStr">
        <is>
          <t>企业降本增效8个维度</t>
        </is>
      </c>
      <c r="D12" s="4" t="inlineStr">
        <is>
          <t>待填写</t>
        </is>
      </c>
      <c r="E12" s="4" t="inlineStr">
        <is>
          <t>待填写</t>
        </is>
      </c>
      <c r="F12" s="4" t="inlineStr">
        <is>
          <t>待填写</t>
        </is>
      </c>
      <c r="G12" s="4" t="inlineStr"/>
    </row>
    <row r="13">
      <c r="A13" s="6" t="inlineStr">
        <is>
          <t>豆瓣</t>
        </is>
      </c>
      <c r="B13" s="6" t="inlineStr">
        <is>
          <t>日记</t>
        </is>
      </c>
      <c r="C13" s="6" t="inlineStr">
        <is>
          <t>创业者的20条忠告</t>
        </is>
      </c>
      <c r="D13" s="6" t="inlineStr">
        <is>
          <t>待填写</t>
        </is>
      </c>
      <c r="E13" s="6" t="inlineStr">
        <is>
          <t>待填写</t>
        </is>
      </c>
      <c r="F13" s="6" t="inlineStr">
        <is>
          <t>待填写</t>
        </is>
      </c>
      <c r="G13" s="6" t="inlineStr"/>
    </row>
    <row r="14">
      <c r="A14" s="4" t="inlineStr">
        <is>
          <t>行业论坛</t>
        </is>
      </c>
      <c r="B14" s="4" t="inlineStr">
        <is>
          <t>帖子</t>
        </is>
      </c>
      <c r="C14" s="4" t="inlineStr">
        <is>
          <t>传统企业数字化转型经验分享</t>
        </is>
      </c>
      <c r="D14" s="4" t="inlineStr">
        <is>
          <t>待填写</t>
        </is>
      </c>
      <c r="E14" s="4" t="inlineStr">
        <is>
          <t>待填写</t>
        </is>
      </c>
      <c r="F14" s="4" t="inlineStr">
        <is>
          <t>待填写</t>
        </is>
      </c>
      <c r="G14" s="4" t="inlineStr"/>
    </row>
    <row r="15">
      <c r="A15" s="6" t="inlineStr">
        <is>
          <t>小红书</t>
        </is>
      </c>
      <c r="B15" s="6" t="inlineStr">
        <is>
          <t>笔记</t>
        </is>
      </c>
      <c r="C15" s="6" t="inlineStr">
        <is>
          <t>深圳老板必看的免费企业诊断</t>
        </is>
      </c>
      <c r="D15" s="6" t="inlineStr">
        <is>
          <t>待填写</t>
        </is>
      </c>
      <c r="E15" s="6" t="inlineStr">
        <is>
          <t>待填写</t>
        </is>
      </c>
      <c r="F15" s="6" t="inlineStr">
        <is>
          <t>待填写</t>
        </is>
      </c>
      <c r="G15" s="6" t="inlineStr"/>
    </row>
    <row r="16">
      <c r="A16" s="4" t="inlineStr">
        <is>
          <t>抖音</t>
        </is>
      </c>
      <c r="B16" s="4" t="inlineStr">
        <is>
          <t>视频</t>
        </is>
      </c>
      <c r="C16" s="4" t="inlineStr">
        <is>
          <t>90%企业的战略都是废纸</t>
        </is>
      </c>
      <c r="D16" s="4" t="inlineStr">
        <is>
          <t>待填写</t>
        </is>
      </c>
      <c r="E16" s="4" t="inlineStr">
        <is>
          <t>待填写</t>
        </is>
      </c>
      <c r="F16" s="4" t="inlineStr">
        <is>
          <t>待填写</t>
        </is>
      </c>
      <c r="G16" s="4" t="inlineStr"/>
    </row>
    <row r="17">
      <c r="A17" s="6" t="inlineStr">
        <is>
          <t>百家号</t>
        </is>
      </c>
      <c r="B17" s="6" t="inlineStr">
        <is>
          <t>文章</t>
        </is>
      </c>
      <c r="C17" s="6" t="inlineStr">
        <is>
          <t>组织变革为什么70%都失败？</t>
        </is>
      </c>
      <c r="D17" s="6" t="inlineStr">
        <is>
          <t>待填写</t>
        </is>
      </c>
      <c r="E17" s="6" t="inlineStr">
        <is>
          <t>待填写</t>
        </is>
      </c>
      <c r="F17" s="6" t="inlineStr">
        <is>
          <t>待填写</t>
        </is>
      </c>
      <c r="G17" s="6" t="inlineStr"/>
    </row>
    <row r="18">
      <c r="A18" s="4" t="inlineStr">
        <is>
          <t>搜狐号</t>
        </is>
      </c>
      <c r="B18" s="4" t="inlineStr">
        <is>
          <t>文章</t>
        </is>
      </c>
      <c r="C18" s="4" t="inlineStr">
        <is>
          <t>中小企业怎么做品牌？</t>
        </is>
      </c>
      <c r="D18" s="4" t="inlineStr">
        <is>
          <t>待填写</t>
        </is>
      </c>
      <c r="E18" s="4" t="inlineStr">
        <is>
          <t>待填写</t>
        </is>
      </c>
      <c r="F18" s="4" t="inlineStr">
        <is>
          <t>待填写</t>
        </is>
      </c>
      <c r="G18" s="4" t="inlineStr"/>
    </row>
    <row r="19">
      <c r="A19" s="6" t="inlineStr">
        <is>
          <t>今日头条</t>
        </is>
      </c>
      <c r="B19" s="6" t="inlineStr">
        <is>
          <t>文章</t>
        </is>
      </c>
      <c r="C19" s="6" t="inlineStr">
        <is>
          <t>企业增长瓶颈怎么突破？</t>
        </is>
      </c>
      <c r="D19" s="6" t="inlineStr">
        <is>
          <t>待填写</t>
        </is>
      </c>
      <c r="E19" s="6" t="inlineStr">
        <is>
          <t>待填写</t>
        </is>
      </c>
      <c r="F19" s="6" t="inlineStr">
        <is>
          <t>待填写</t>
        </is>
      </c>
      <c r="G19" s="6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5" customWidth="1" min="3" max="3"/>
    <col width="12" customWidth="1" min="4" max="4"/>
    <col width="3" customWidth="1" min="5" max="5"/>
    <col width="12" customWidth="1" min="6" max="6"/>
    <col width="12" customWidth="1" min="7" max="7"/>
  </cols>
  <sheetData>
    <row r="1" ht="40" customHeight="1">
      <c r="A1" s="1" t="inlineStr">
        <is>
          <t>技术SEO检查表</t>
        </is>
      </c>
    </row>
    <row r="2">
      <c r="A2" s="3" t="n"/>
      <c r="B2" s="3" t="n"/>
      <c r="C2" s="3" t="n"/>
      <c r="D2" s="3" t="n"/>
    </row>
    <row r="3">
      <c r="A3" t="inlineStr">
        <is>
          <t>项目</t>
        </is>
      </c>
      <c r="B3" t="inlineStr">
        <is>
          <t>状态</t>
        </is>
      </c>
      <c r="C3" t="inlineStr">
        <is>
          <t>说明</t>
        </is>
      </c>
      <c r="D3" t="inlineStr">
        <is>
          <t>检查日期</t>
        </is>
      </c>
      <c r="F3" s="2" t="inlineStr">
        <is>
          <t>完成度统计</t>
        </is>
      </c>
    </row>
    <row r="4">
      <c r="A4" s="8" t="inlineStr">
        <is>
          <t>【基础设置】</t>
        </is>
      </c>
      <c r="B4" s="8" t="inlineStr"/>
      <c r="C4" s="8" t="inlineStr"/>
      <c r="D4" s="8" t="inlineStr"/>
      <c r="E4" s="8" t="n"/>
      <c r="F4" s="8" t="inlineStr">
        <is>
          <t>已完成项</t>
        </is>
      </c>
      <c r="G4" s="8">
        <f>COUNTIF(B:B,"✅ 已配置")+COUNTIF(B:B,"✅ 已完成")</f>
        <v/>
      </c>
    </row>
    <row r="5">
      <c r="A5" s="6" t="inlineStr">
        <is>
          <t>HTTPS</t>
        </is>
      </c>
      <c r="B5" s="6" t="inlineStr">
        <is>
          <t>✅ 已配置</t>
        </is>
      </c>
      <c r="C5" s="6" t="inlineStr">
        <is>
          <t>全站HTTPS</t>
        </is>
      </c>
      <c r="D5" s="6" t="inlineStr">
        <is>
          <t>2026-07</t>
        </is>
      </c>
      <c r="F5" t="inlineStr">
        <is>
          <t>待完成项</t>
        </is>
      </c>
      <c r="G5">
        <f>COUNTIF(B:B,"待检查")+COUNTIF(B:B,"待配置")+COUNTIF(B:B,"待测试")</f>
        <v/>
      </c>
    </row>
    <row r="6">
      <c r="A6" s="4" t="inlineStr">
        <is>
          <t>WWW解析</t>
        </is>
      </c>
      <c r="B6" s="4" t="inlineStr">
        <is>
          <t>待检查</t>
        </is>
      </c>
      <c r="C6" s="4" t="inlineStr">
        <is>
          <t>301重定向</t>
        </is>
      </c>
      <c r="D6" s="4" t="inlineStr"/>
      <c r="F6" t="inlineStr">
        <is>
          <t>总项数</t>
        </is>
      </c>
      <c r="G6">
        <f>G4+G5</f>
        <v/>
      </c>
    </row>
    <row r="7">
      <c r="A7" s="6" t="inlineStr">
        <is>
          <t>移动端适配</t>
        </is>
      </c>
      <c r="B7" s="6" t="inlineStr">
        <is>
          <t>✅ 已配置</t>
        </is>
      </c>
      <c r="C7" s="6" t="inlineStr">
        <is>
          <t>响应式设计</t>
        </is>
      </c>
      <c r="D7" s="6" t="inlineStr">
        <is>
          <t>2026-07</t>
        </is>
      </c>
      <c r="F7" t="inlineStr">
        <is>
          <t>完成率</t>
        </is>
      </c>
      <c r="G7" s="9">
        <f>G4/G6</f>
        <v/>
      </c>
    </row>
    <row r="8">
      <c r="A8" s="4" t="inlineStr">
        <is>
          <t>网站速度</t>
        </is>
      </c>
      <c r="B8" s="4" t="inlineStr">
        <is>
          <t>待测试</t>
        </is>
      </c>
      <c r="C8" s="4" t="inlineStr">
        <is>
          <t>首屏&lt;3秒</t>
        </is>
      </c>
      <c r="D8" s="4" t="inlineStr"/>
    </row>
    <row r="9">
      <c r="A9" s="6" t="inlineStr">
        <is>
          <t>【索引配置】</t>
        </is>
      </c>
      <c r="B9" s="6" t="inlineStr"/>
      <c r="C9" s="6" t="inlineStr"/>
      <c r="D9" s="6" t="inlineStr"/>
    </row>
    <row r="10">
      <c r="A10" s="4" t="inlineStr">
        <is>
          <t>robots.txt</t>
        </is>
      </c>
      <c r="B10" s="4" t="inlineStr">
        <is>
          <t>✅ 已配置</t>
        </is>
      </c>
      <c r="C10" s="4" t="inlineStr">
        <is>
          <t>已配置sitemap</t>
        </is>
      </c>
      <c r="D10" s="4" t="inlineStr">
        <is>
          <t>2026-07</t>
        </is>
      </c>
    </row>
    <row r="11">
      <c r="A11" s="6" t="inlineStr">
        <is>
          <t>sitemap.xml</t>
        </is>
      </c>
      <c r="B11" s="6" t="inlineStr">
        <is>
          <t>✅ 已配置</t>
        </is>
      </c>
      <c r="C11" s="6" t="inlineStr">
        <is>
          <t>25个URL</t>
        </is>
      </c>
      <c r="D11" s="6" t="inlineStr">
        <is>
          <t>2026-07</t>
        </is>
      </c>
    </row>
    <row r="12">
      <c r="A12" s="4" t="inlineStr">
        <is>
          <t>百度站长平台</t>
        </is>
      </c>
      <c r="B12" s="4" t="inlineStr">
        <is>
          <t>待配置</t>
        </is>
      </c>
      <c r="C12" s="4" t="inlineStr">
        <is>
          <t>提交sitemap</t>
        </is>
      </c>
      <c r="D12" s="4" t="inlineStr"/>
    </row>
    <row r="13">
      <c r="A13" s="6" t="inlineStr">
        <is>
          <t>Google Search Console</t>
        </is>
      </c>
      <c r="B13" s="6" t="inlineStr">
        <is>
          <t>待配置</t>
        </is>
      </c>
      <c r="C13" s="6" t="inlineStr">
        <is>
          <t>提交sitemap</t>
        </is>
      </c>
      <c r="D13" s="6" t="inlineStr"/>
    </row>
    <row r="14">
      <c r="A14" s="4" t="inlineStr">
        <is>
          <t>【内容优化】</t>
        </is>
      </c>
      <c r="B14" s="4" t="inlineStr"/>
      <c r="C14" s="4" t="inlineStr"/>
      <c r="D14" s="4" t="inlineStr"/>
    </row>
    <row r="15">
      <c r="A15" s="6" t="inlineStr">
        <is>
          <t>Title优化</t>
        </is>
      </c>
      <c r="B15" s="6" t="inlineStr">
        <is>
          <t>✅ 已完成</t>
        </is>
      </c>
      <c r="C15" s="6" t="inlineStr">
        <is>
          <t>每页独立title</t>
        </is>
      </c>
      <c r="D15" s="6" t="inlineStr">
        <is>
          <t>2026-07</t>
        </is>
      </c>
    </row>
    <row r="16">
      <c r="A16" s="4" t="inlineStr">
        <is>
          <t>Description优化</t>
        </is>
      </c>
      <c r="B16" s="4" t="inlineStr">
        <is>
          <t>✅ 已完成</t>
        </is>
      </c>
      <c r="C16" s="4" t="inlineStr">
        <is>
          <t>每页独立描述</t>
        </is>
      </c>
      <c r="D16" s="4" t="inlineStr">
        <is>
          <t>2026-07</t>
        </is>
      </c>
    </row>
    <row r="17">
      <c r="A17" s="6" t="inlineStr">
        <is>
          <t>H1标签</t>
        </is>
      </c>
      <c r="B17" s="6" t="inlineStr">
        <is>
          <t>✅ 已配置</t>
        </is>
      </c>
      <c r="C17" s="6" t="inlineStr">
        <is>
          <t>每页唯一H1</t>
        </is>
      </c>
      <c r="D17" s="6" t="inlineStr">
        <is>
          <t>2026-07</t>
        </is>
      </c>
    </row>
    <row r="18">
      <c r="A18" s="4" t="inlineStr">
        <is>
          <t>图片Alt</t>
        </is>
      </c>
      <c r="B18" s="4" t="inlineStr">
        <is>
          <t>✅ 已配置</t>
        </is>
      </c>
      <c r="C18" s="4" t="inlineStr">
        <is>
          <t>主要图片有alt</t>
        </is>
      </c>
      <c r="D18" s="4" t="inlineStr">
        <is>
          <t>2026-07</t>
        </is>
      </c>
    </row>
    <row r="19">
      <c r="A19" s="6" t="inlineStr">
        <is>
          <t>内链建设</t>
        </is>
      </c>
      <c r="B19" s="6" t="inlineStr">
        <is>
          <t>✅ 已完成</t>
        </is>
      </c>
      <c r="C19" s="6" t="inlineStr">
        <is>
          <t>4层内链网络</t>
        </is>
      </c>
      <c r="D19" s="6" t="inlineStr">
        <is>
          <t>2026-07</t>
        </is>
      </c>
    </row>
    <row r="20">
      <c r="A20" s="4" t="inlineStr">
        <is>
          <t>【结构化数据】</t>
        </is>
      </c>
      <c r="B20" s="4" t="inlineStr"/>
      <c r="C20" s="4" t="inlineStr"/>
      <c r="D20" s="4" t="inlineStr"/>
    </row>
    <row r="21">
      <c r="A21" s="6" t="inlineStr">
        <is>
          <t>Organization Schema</t>
        </is>
      </c>
      <c r="B21" s="6" t="inlineStr">
        <is>
          <t>✅ 已配置</t>
        </is>
      </c>
      <c r="C21" s="6" t="inlineStr">
        <is>
          <t>企业信息</t>
        </is>
      </c>
      <c r="D21" s="6" t="inlineStr">
        <is>
          <t>2026-07</t>
        </is>
      </c>
    </row>
    <row r="22">
      <c r="A22" s="4" t="inlineStr">
        <is>
          <t>Breadcrumb Schema</t>
        </is>
      </c>
      <c r="B22" s="4" t="inlineStr">
        <is>
          <t>✅ 已配置</t>
        </is>
      </c>
      <c r="C22" s="4" t="inlineStr">
        <is>
          <t>面包屑</t>
        </is>
      </c>
      <c r="D22" s="4" t="inlineStr">
        <is>
          <t>2026-07</t>
        </is>
      </c>
    </row>
    <row r="23">
      <c r="A23" s="6" t="inlineStr">
        <is>
          <t>FAQ Schema</t>
        </is>
      </c>
      <c r="B23" s="6" t="inlineStr">
        <is>
          <t>✅ 已配置</t>
        </is>
      </c>
      <c r="C23" s="6" t="inlineStr">
        <is>
          <t>首页/联系页</t>
        </is>
      </c>
      <c r="D23" s="6" t="inlineStr">
        <is>
          <t>2026-07</t>
        </is>
      </c>
    </row>
    <row r="24">
      <c r="A24" s="4" t="inlineStr">
        <is>
          <t>Article Schema</t>
        </is>
      </c>
      <c r="B24" s="4" t="inlineStr">
        <is>
          <t>✅ 已配置</t>
        </is>
      </c>
      <c r="C24" s="4" t="inlineStr">
        <is>
          <t>文章详情页</t>
        </is>
      </c>
      <c r="D24" s="4" t="inlineStr">
        <is>
          <t>2026-07</t>
        </is>
      </c>
    </row>
    <row r="25">
      <c r="A25" s="6" t="inlineStr">
        <is>
          <t>Service Schema</t>
        </is>
      </c>
      <c r="B25" s="6" t="inlineStr">
        <is>
          <t>✅ 已配置</t>
        </is>
      </c>
      <c r="C25" s="6" t="inlineStr">
        <is>
          <t>首页服务</t>
        </is>
      </c>
      <c r="D25" s="6" t="inlineStr">
        <is>
          <t>2026-07</t>
        </is>
      </c>
    </row>
    <row r="26">
      <c r="A26" s="4" t="inlineStr">
        <is>
          <t>【用户体验】</t>
        </is>
      </c>
      <c r="B26" s="4" t="inlineStr"/>
      <c r="C26" s="4" t="inlineStr"/>
      <c r="D26" s="4" t="inlineStr"/>
    </row>
    <row r="27">
      <c r="A27" s="6" t="inlineStr">
        <is>
          <t>面包屑导航</t>
        </is>
      </c>
      <c r="B27" s="6" t="inlineStr">
        <is>
          <t>✅ 已配置</t>
        </is>
      </c>
      <c r="C27" s="6" t="inlineStr">
        <is>
          <t>清晰层级</t>
        </is>
      </c>
      <c r="D27" s="6" t="inlineStr">
        <is>
          <t>2026-07</t>
        </is>
      </c>
    </row>
    <row r="28">
      <c r="A28" s="4" t="inlineStr">
        <is>
          <t>404页面</t>
        </is>
      </c>
      <c r="B28" s="4" t="inlineStr">
        <is>
          <t>待检查</t>
        </is>
      </c>
      <c r="C28" s="4" t="inlineStr">
        <is>
          <t>引导回首页</t>
        </is>
      </c>
      <c r="D28" s="4" t="inlineStr"/>
    </row>
    <row r="29">
      <c r="A29" s="6" t="inlineStr">
        <is>
          <t>死链接</t>
        </is>
      </c>
      <c r="B29" s="6" t="inlineStr">
        <is>
          <t>待检查</t>
        </is>
      </c>
      <c r="C29" s="6" t="inlineStr">
        <is>
          <t>定期检查</t>
        </is>
      </c>
      <c r="D29" s="6" t="inlineStr"/>
    </row>
    <row r="30">
      <c r="A30" s="4" t="inlineStr">
        <is>
          <t>【本地SEO】</t>
        </is>
      </c>
      <c r="B30" s="4" t="inlineStr"/>
      <c r="C30" s="4" t="inlineStr"/>
      <c r="D30" s="4" t="inlineStr"/>
    </row>
    <row r="31">
      <c r="A31" s="6" t="inlineStr">
        <is>
          <t>百度地图</t>
        </is>
      </c>
      <c r="B31" s="6" t="inlineStr">
        <is>
          <t>待配置</t>
        </is>
      </c>
      <c r="C31" s="6" t="inlineStr">
        <is>
          <t>标注商户</t>
        </is>
      </c>
      <c r="D31" s="6" t="inlineStr"/>
    </row>
    <row r="32">
      <c r="A32" s="4" t="inlineStr">
        <is>
          <t>高德地图</t>
        </is>
      </c>
      <c r="B32" s="4" t="inlineStr">
        <is>
          <t>待配置</t>
        </is>
      </c>
      <c r="C32" s="4" t="inlineStr">
        <is>
          <t>标注商户</t>
        </is>
      </c>
      <c r="D32" s="4" t="inlineStr"/>
    </row>
    <row r="33">
      <c r="A33" s="6" t="inlineStr">
        <is>
          <t>腾讯地图</t>
        </is>
      </c>
      <c r="B33" s="6" t="inlineStr">
        <is>
          <t>待配置</t>
        </is>
      </c>
      <c r="C33" s="6" t="inlineStr">
        <is>
          <t>标注商户</t>
        </is>
      </c>
      <c r="D33" s="6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40" customHeight="1">
      <c r="A1" s="1" t="inlineStr">
        <is>
          <t>SEO数据监控配置指南</t>
        </is>
      </c>
    </row>
    <row r="3" ht="20" customHeight="1">
      <c r="A3" s="10" t="inlineStr">
        <is>
          <t>一、统计工具配置</t>
        </is>
      </c>
      <c r="B3" s="11" t="n"/>
    </row>
    <row r="4" ht="110" customHeight="1">
      <c r="A4" s="12" t="inlineStr">
        <is>
          <t>百度统计</t>
        </is>
      </c>
      <c r="B4" s="11" t="inlineStr">
        <is>
          <t>1. 访问 tongji.baidu.com
2. 注册账号并添加网站
3. 获取统计代码（一串数字ID）
4. 打开网站 assets/js/analytics.js
5. 把 hm.js? 后面的 xxxxxxxxxxxxxxx 换成你的ID
6. 保存并重新部署网站</t>
        </is>
      </c>
    </row>
    <row r="5" ht="92" customHeight="1">
      <c r="A5" s="12" t="inlineStr">
        <is>
          <t>Google Analytics</t>
        </is>
      </c>
      <c r="B5" s="11" t="inlineStr">
        <is>
          <t>1. 访问 analytics.google.com
2. 注册GA4账号并创建媒体资源
3. 获取衡量ID（G-开头）
4. 打开 analytics.js 取消GA代码注释
5. 替换 G-XXXXXXXXXX 为你的ID</t>
        </is>
      </c>
    </row>
    <row r="6" ht="74" customHeight="1">
      <c r="A6" s="12" t="inlineStr">
        <is>
          <t>51.la统计</t>
        </is>
      </c>
      <c r="B6" s="11" t="inlineStr">
        <is>
          <t>1. 访问 51.la
2. 注册并添加网站
3. 获取ID和CK
4. 取消51la代码注释并填入ID</t>
        </is>
      </c>
    </row>
    <row r="7" ht="20" customHeight="1">
      <c r="A7" t="inlineStr"/>
      <c r="B7" s="11" t="inlineStr"/>
    </row>
    <row r="8" ht="20" customHeight="1">
      <c r="A8" s="10" t="inlineStr">
        <is>
          <t>二、站长平台配置</t>
        </is>
      </c>
      <c r="B8" s="11" t="n"/>
    </row>
    <row r="9" ht="92" customHeight="1">
      <c r="A9" s="12" t="inlineStr">
        <is>
          <t>百度搜索资源平台</t>
        </is>
      </c>
      <c r="B9" s="11" t="inlineStr">
        <is>
          <t>1. 访问 ziyuan.baidu.com
2. 注册并添加网站
3. 验证网站所有权（文件验证或meta验证）
4. 提交sitemap：https://juxin-consulting.vercel.app/sitemap.xml
5. 提交首页URL，加速收录</t>
        </is>
      </c>
    </row>
    <row r="10" ht="74" customHeight="1">
      <c r="A10" s="12" t="inlineStr">
        <is>
          <t>Google Search Console</t>
        </is>
      </c>
      <c r="B10" s="11" t="inlineStr">
        <is>
          <t>1. 访问 search.google.com/search-console
2. 添加网站并验证
3. 提交sitemap
4. 检查索引覆盖情况</t>
        </is>
      </c>
    </row>
    <row r="11" ht="56" customHeight="1">
      <c r="A11" s="12" t="inlineStr">
        <is>
          <t>360站长平台</t>
        </is>
      </c>
      <c r="B11" s="11" t="inlineStr">
        <is>
          <t>1. 访问 zhanzhang.so.com
2. 注册并添加网站
3. 提交sitemap</t>
        </is>
      </c>
    </row>
    <row r="12" ht="20" customHeight="1">
      <c r="A12" t="inlineStr"/>
      <c r="B12" s="11" t="inlineStr"/>
    </row>
    <row r="13" ht="20" customHeight="1">
      <c r="A13" s="10" t="inlineStr">
        <is>
          <t>三、数据更新频率</t>
        </is>
      </c>
      <c r="B13" s="11" t="n"/>
    </row>
    <row r="14" ht="20" customHeight="1">
      <c r="A14" s="12" t="inlineStr">
        <is>
          <t>关键词排名</t>
        </is>
      </c>
      <c r="B14" s="11" t="inlineStr">
        <is>
          <t>每周一更新（用站长工具或5118查询）</t>
        </is>
      </c>
    </row>
    <row r="15" ht="20" customHeight="1">
      <c r="A15" s="12" t="inlineStr">
        <is>
          <t>流量数据</t>
        </is>
      </c>
      <c r="B15" s="11" t="inlineStr">
        <is>
          <t>每天查看（百度统计）</t>
        </is>
      </c>
    </row>
    <row r="16" ht="20" customHeight="1">
      <c r="A16" s="12" t="inlineStr">
        <is>
          <t>收录数据</t>
        </is>
      </c>
      <c r="B16" s="11" t="inlineStr">
        <is>
          <t>每周更新（站长平台）</t>
        </is>
      </c>
    </row>
    <row r="17" ht="20" customHeight="1">
      <c r="A17" s="12" t="inlineStr">
        <is>
          <t>转化数据</t>
        </is>
      </c>
      <c r="B17" s="11" t="inlineStr">
        <is>
          <t>每周汇总（咨询量/成交量）</t>
        </is>
      </c>
    </row>
    <row r="18" ht="20" customHeight="1">
      <c r="A18" s="12" t="inlineStr">
        <is>
          <t>月度报告</t>
        </is>
      </c>
      <c r="B18" s="11" t="inlineStr">
        <is>
          <t>每月初生成上月数据报告</t>
        </is>
      </c>
    </row>
    <row r="19" ht="20" customHeight="1">
      <c r="A19" t="inlineStr"/>
      <c r="B19" s="11" t="inlineStr"/>
    </row>
    <row r="20" ht="20" customHeight="1">
      <c r="A20" s="10" t="inlineStr">
        <is>
          <t>四、SEO优化节奏</t>
        </is>
      </c>
      <c r="B20" s="11" t="n"/>
    </row>
    <row r="21" ht="20" customHeight="1">
      <c r="A21" t="inlineStr">
        <is>
          <t>第1个月</t>
        </is>
      </c>
      <c r="B21" s="11" t="inlineStr">
        <is>
          <t>基础优化完成 + 内容产出10篇 + 外链10条</t>
        </is>
      </c>
    </row>
    <row r="22" ht="20" customHeight="1">
      <c r="A22" t="inlineStr">
        <is>
          <t>第2-3个月</t>
        </is>
      </c>
      <c r="B22" s="11" t="inlineStr">
        <is>
          <t>持续内容产出（每月10篇）+ 外链建设 + 关键词前50</t>
        </is>
      </c>
    </row>
    <row r="23" ht="20" customHeight="1">
      <c r="A23" t="inlineStr">
        <is>
          <t>第4-6个月</t>
        </is>
      </c>
      <c r="B23" s="11" t="inlineStr">
        <is>
          <t>内容持续更新 + 核心词进首页 + 转化稳定增长</t>
        </is>
      </c>
    </row>
    <row r="24" ht="20" customHeight="1">
      <c r="A24" s="12" t="inlineStr">
        <is>
          <t>长期</t>
        </is>
      </c>
      <c r="B24" s="11" t="inlineStr">
        <is>
          <t>每月5-10篇内容 + 外链维护 + 数据监控</t>
        </is>
      </c>
    </row>
  </sheetData>
  <mergeCells count="5">
    <mergeCell ref="A20:B20"/>
    <mergeCell ref="A1:C1"/>
    <mergeCell ref="A13:B13"/>
    <mergeCell ref="A8:B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2026-07-08T07:21:59Z</dcterms:created>
  <dcterms:modified xmlns:dcterms="http://purl.org/dc/terms/" xmlns:xsi="http://www.w3.org/2001/XMLSchema-instance" xsi:type="dcterms:W3CDTF">2026-07-08T07:21:59Z</dcterms:modified>
</cp:coreProperties>
</file>